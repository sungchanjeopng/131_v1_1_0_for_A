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10" i="1" l="1"/>
  <c r="L13" i="1" s="1"/>
  <c r="I10" i="1"/>
  <c r="I13" i="1" s="1"/>
  <c r="L12" i="1"/>
  <c r="I12" i="1"/>
  <c r="F13" i="1" l="1"/>
  <c r="F12" i="1"/>
  <c r="C13" i="1" l="1"/>
  <c r="C12" i="1"/>
</calcChain>
</file>

<file path=xl/sharedStrings.xml><?xml version="1.0" encoding="utf-8"?>
<sst xmlns="http://schemas.openxmlformats.org/spreadsheetml/2006/main" count="16" uniqueCount="13">
  <si>
    <t>Prescaler</t>
    <phoneticPr fontId="2" type="noConversion"/>
  </si>
  <si>
    <t>APB2 timer clock</t>
    <phoneticPr fontId="2" type="noConversion"/>
  </si>
  <si>
    <t>10-1</t>
    <phoneticPr fontId="2" type="noConversion"/>
  </si>
  <si>
    <t>200MHz</t>
    <phoneticPr fontId="2" type="noConversion"/>
  </si>
  <si>
    <t>PWM의 주파수는 ((Internal Clock)/(Prescaler + 1)) / (Period)로 계산</t>
    <phoneticPr fontId="2" type="noConversion"/>
  </si>
  <si>
    <t>Counter Period</t>
    <phoneticPr fontId="2" type="noConversion"/>
  </si>
  <si>
    <t>Pulse</t>
    <phoneticPr fontId="2" type="noConversion"/>
  </si>
  <si>
    <t>PWM 주파수</t>
    <phoneticPr fontId="2" type="noConversion"/>
  </si>
  <si>
    <t>DutyCycle(%)은 (Pulse)/(Period)*100으로 계산</t>
    <phoneticPr fontId="2" type="noConversion"/>
  </si>
  <si>
    <t>DutyCycle(%)</t>
    <phoneticPr fontId="2" type="noConversion"/>
  </si>
  <si>
    <t>20-1</t>
    <phoneticPr fontId="2" type="noConversion"/>
  </si>
  <si>
    <t>16-1</t>
    <phoneticPr fontId="2" type="noConversion"/>
  </si>
  <si>
    <t>7-1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</si>
</sst>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mm&quot;월&quot;\ dd&quot;일&quot;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1" applyNumberFormat="1" applyFont="1" applyAlignment="1">
      <alignment vertical="center"/>
    </xf>
    <xf numFmtId="176" fontId="0" fillId="0" borderId="0" xfId="0" quotePrefix="1" applyNumberFormat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K10" sqref="K10"/>
    </sheetView>
  </sheetViews>
  <sheetFormatPr defaultRowHeight="16.5" x14ac:dyDescent="0.3"/>
  <cols>
    <col min="1" max="1" width="16.625" style="1" bestFit="1" customWidth="1"/>
    <col min="2" max="2" width="13" style="1" bestFit="1" customWidth="1"/>
    <col min="3" max="3" width="10.5" style="1" bestFit="1" customWidth="1"/>
    <col min="4" max="4" width="9.5" style="1" bestFit="1" customWidth="1"/>
    <col min="5" max="7" width="9" style="1"/>
    <col min="8" max="8" width="9.875" style="1" bestFit="1" customWidth="1"/>
    <col min="9" max="16384" width="9" style="1"/>
  </cols>
  <sheetData>
    <row r="1" spans="1:12" x14ac:dyDescent="0.3">
      <c r="A1" s="4" t="s">
        <v>4</v>
      </c>
      <c r="B1" s="4"/>
      <c r="C1" s="4"/>
      <c r="D1" s="4"/>
      <c r="E1" s="4"/>
      <c r="F1" s="4"/>
      <c r="G1" s="4"/>
    </row>
    <row r="2" spans="1:12" x14ac:dyDescent="0.3">
      <c r="A2" s="4" t="s">
        <v>8</v>
      </c>
      <c r="B2" s="4"/>
      <c r="C2" s="4"/>
      <c r="D2" s="4"/>
      <c r="E2" s="4"/>
      <c r="F2" s="4"/>
      <c r="G2" s="4"/>
    </row>
    <row r="7" spans="1:12" x14ac:dyDescent="0.3">
      <c r="A7" s="1" t="s">
        <v>1</v>
      </c>
      <c r="B7" s="2" t="s">
        <v>3</v>
      </c>
      <c r="C7" s="1">
        <v>200000000</v>
      </c>
      <c r="E7" s="2" t="s">
        <v>3</v>
      </c>
      <c r="F7" s="1">
        <v>200000000</v>
      </c>
      <c r="H7" s="2" t="s">
        <v>3</v>
      </c>
      <c r="I7" s="1">
        <v>200000000</v>
      </c>
      <c r="K7" s="2" t="s">
        <v>3</v>
      </c>
      <c r="L7" s="1">
        <v>200000000</v>
      </c>
    </row>
    <row r="8" spans="1:12" x14ac:dyDescent="0.3">
      <c r="A8" s="1" t="s">
        <v>0</v>
      </c>
      <c r="B8" s="3" t="s">
        <v>2</v>
      </c>
      <c r="C8" s="1">
        <v>9</v>
      </c>
      <c r="E8" s="3" t="s">
        <v>10</v>
      </c>
      <c r="F8" s="1">
        <v>19</v>
      </c>
      <c r="H8" s="3" t="s">
        <v>11</v>
      </c>
      <c r="I8" s="1">
        <v>16</v>
      </c>
      <c r="K8" s="3" t="s">
        <v>12</v>
      </c>
      <c r="L8" s="1">
        <v>6</v>
      </c>
    </row>
    <row r="9" spans="1:12" x14ac:dyDescent="0.3">
      <c r="A9" s="1" t="s">
        <v>5</v>
      </c>
      <c r="B9" s="1">
        <v>50</v>
      </c>
      <c r="C9" s="1">
        <v>50</v>
      </c>
      <c r="E9" s="1">
        <v>50</v>
      </c>
      <c r="F9" s="1">
        <v>50</v>
      </c>
      <c r="H9" s="1">
        <v>50</v>
      </c>
      <c r="I9" s="1">
        <v>74</v>
      </c>
      <c r="K9" s="1">
        <v>50</v>
      </c>
      <c r="L9" s="1">
        <v>74</v>
      </c>
    </row>
    <row r="10" spans="1:12" x14ac:dyDescent="0.3">
      <c r="A10" s="1" t="s">
        <v>6</v>
      </c>
      <c r="B10" s="1">
        <v>25</v>
      </c>
      <c r="C10" s="1">
        <v>25</v>
      </c>
      <c r="E10" s="1">
        <v>25</v>
      </c>
      <c r="F10" s="1">
        <v>25</v>
      </c>
      <c r="H10" s="1">
        <v>25</v>
      </c>
      <c r="I10" s="1">
        <f>I9/2</f>
        <v>37</v>
      </c>
      <c r="K10" s="1">
        <v>25</v>
      </c>
      <c r="L10" s="1">
        <f>L9/2</f>
        <v>37</v>
      </c>
    </row>
    <row r="12" spans="1:12" x14ac:dyDescent="0.3">
      <c r="A12" s="1" t="s">
        <v>7</v>
      </c>
      <c r="C12" s="1">
        <f>((C7/(C8+1))/C9)</f>
        <v>400000</v>
      </c>
      <c r="F12" s="1">
        <f>((F7/(F8+1))/F9)</f>
        <v>200000</v>
      </c>
      <c r="I12" s="1">
        <f>((I7/(I8+1))/I9)</f>
        <v>158982.51192368838</v>
      </c>
      <c r="L12" s="1">
        <f>((L7/(L8+1))/L9)</f>
        <v>386100.38610038609</v>
      </c>
    </row>
    <row r="13" spans="1:12" x14ac:dyDescent="0.3">
      <c r="A13" s="1" t="s">
        <v>9</v>
      </c>
      <c r="C13" s="1">
        <f>(C10/C9)*100</f>
        <v>50</v>
      </c>
      <c r="F13" s="1">
        <f>(F10/F9)*100</f>
        <v>50</v>
      </c>
      <c r="I13" s="1">
        <f>(I10/I9)*100</f>
        <v>50</v>
      </c>
      <c r="L13" s="1">
        <f>(L10/L9)*100</f>
        <v>50</v>
      </c>
    </row>
  </sheetData>
  <mergeCells count="2">
    <mergeCell ref="A1:G1"/>
    <mergeCell ref="A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2022-05-13T07:33:06Z</dcterms:modified>
</cp:coreProperties>
</file>