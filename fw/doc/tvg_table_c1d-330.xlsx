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svn server\c1s-210\trunk - 복사본 (2)\Doc\measure\"/>
    </mc:Choice>
  </mc:AlternateContent>
  <xr:revisionPtr revIDLastSave="0" documentId="13_ncr:1_{92FA2E3F-74E1-4F58-8936-E98A00A08EE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VG" sheetId="7" r:id="rId1"/>
    <sheet name="Sheet3" sheetId="10" r:id="rId2"/>
    <sheet name="Sheet1" sheetId="8" r:id="rId3"/>
    <sheet name="Sheet2" sheetId="9" r:id="rId4"/>
  </sheets>
  <definedNames>
    <definedName name="_xlnm.Print_Area" localSheetId="0">TVG!$A$1:$BD$63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0" l="1"/>
  <c r="J1" i="10"/>
  <c r="K1" i="10"/>
  <c r="L1" i="10"/>
  <c r="M1" i="10"/>
  <c r="N1" i="10"/>
  <c r="I2" i="10"/>
  <c r="J2" i="10"/>
  <c r="K2" i="10"/>
  <c r="L2" i="10"/>
  <c r="M2" i="10"/>
  <c r="N2" i="10"/>
  <c r="I3" i="10"/>
  <c r="J3" i="10"/>
  <c r="K3" i="10"/>
  <c r="L3" i="10"/>
  <c r="M3" i="10"/>
  <c r="N3" i="10"/>
  <c r="I4" i="10"/>
  <c r="J4" i="10"/>
  <c r="K4" i="10"/>
  <c r="L4" i="10"/>
  <c r="M4" i="10"/>
  <c r="N4" i="10"/>
  <c r="I5" i="10"/>
  <c r="J5" i="10"/>
  <c r="K5" i="10"/>
  <c r="L5" i="10"/>
  <c r="M5" i="10"/>
  <c r="N5" i="10"/>
  <c r="I6" i="10"/>
  <c r="J6" i="10"/>
  <c r="K6" i="10"/>
  <c r="L6" i="10"/>
  <c r="M6" i="10"/>
  <c r="N6" i="10"/>
  <c r="I7" i="10"/>
  <c r="J7" i="10"/>
  <c r="K7" i="10"/>
  <c r="L7" i="10"/>
  <c r="M7" i="10"/>
  <c r="N7" i="10"/>
  <c r="I8" i="10"/>
  <c r="J8" i="10"/>
  <c r="K8" i="10"/>
  <c r="L8" i="10"/>
  <c r="M8" i="10"/>
  <c r="N8" i="10"/>
  <c r="I9" i="10"/>
  <c r="J9" i="10"/>
  <c r="K9" i="10"/>
  <c r="L9" i="10"/>
  <c r="M9" i="10"/>
  <c r="N9" i="10"/>
  <c r="I10" i="10"/>
  <c r="J10" i="10"/>
  <c r="K10" i="10"/>
  <c r="L10" i="10"/>
  <c r="M10" i="10"/>
  <c r="N10" i="10"/>
  <c r="I11" i="10"/>
  <c r="J11" i="10"/>
  <c r="K11" i="10"/>
  <c r="L11" i="10"/>
  <c r="M11" i="10"/>
  <c r="N11" i="10"/>
  <c r="I12" i="10"/>
  <c r="J12" i="10"/>
  <c r="K12" i="10"/>
  <c r="L12" i="10"/>
  <c r="M12" i="10"/>
  <c r="N12" i="10"/>
  <c r="I13" i="10"/>
  <c r="J13" i="10"/>
  <c r="K13" i="10"/>
  <c r="L13" i="10"/>
  <c r="M13" i="10"/>
  <c r="N13" i="10"/>
  <c r="I14" i="10"/>
  <c r="J14" i="10"/>
  <c r="K14" i="10"/>
  <c r="L14" i="10"/>
  <c r="M14" i="10"/>
  <c r="N14" i="10"/>
  <c r="I15" i="10"/>
  <c r="J15" i="10"/>
  <c r="K15" i="10"/>
  <c r="L15" i="10"/>
  <c r="M15" i="10"/>
  <c r="N15" i="10"/>
  <c r="I16" i="10"/>
  <c r="J16" i="10"/>
  <c r="K16" i="10"/>
  <c r="L16" i="10"/>
  <c r="M16" i="10"/>
  <c r="N16" i="10"/>
  <c r="I17" i="10"/>
  <c r="J17" i="10"/>
  <c r="K17" i="10"/>
  <c r="L17" i="10"/>
  <c r="M17" i="10"/>
  <c r="N17" i="10"/>
  <c r="I18" i="10"/>
  <c r="J18" i="10"/>
  <c r="K18" i="10"/>
  <c r="L18" i="10"/>
  <c r="M18" i="10"/>
  <c r="N18" i="10"/>
  <c r="I19" i="10"/>
  <c r="J19" i="10"/>
  <c r="K19" i="10"/>
  <c r="L19" i="10"/>
  <c r="M19" i="10"/>
  <c r="N19" i="10"/>
  <c r="I20" i="10"/>
  <c r="J20" i="10"/>
  <c r="K20" i="10"/>
  <c r="L20" i="10"/>
  <c r="M20" i="10"/>
  <c r="N20" i="10"/>
  <c r="I21" i="10"/>
  <c r="J21" i="10"/>
  <c r="K21" i="10"/>
  <c r="L21" i="10"/>
  <c r="M21" i="10"/>
  <c r="N21" i="10"/>
  <c r="I22" i="10"/>
  <c r="J22" i="10"/>
  <c r="K22" i="10"/>
  <c r="L22" i="10"/>
  <c r="M22" i="10"/>
  <c r="N22" i="10"/>
  <c r="I23" i="10"/>
  <c r="J23" i="10"/>
  <c r="K23" i="10"/>
  <c r="L23" i="10"/>
  <c r="M23" i="10"/>
  <c r="N23" i="10"/>
  <c r="I24" i="10"/>
  <c r="J24" i="10"/>
  <c r="K24" i="10"/>
  <c r="L24" i="10"/>
  <c r="M24" i="10"/>
  <c r="N24" i="10"/>
  <c r="I25" i="10"/>
  <c r="J25" i="10"/>
  <c r="K25" i="10"/>
  <c r="L25" i="10"/>
  <c r="M25" i="10"/>
  <c r="N25" i="10"/>
  <c r="I26" i="10"/>
  <c r="J26" i="10"/>
  <c r="K26" i="10"/>
  <c r="L26" i="10"/>
  <c r="M26" i="10"/>
  <c r="N26" i="10"/>
  <c r="I27" i="10"/>
  <c r="J27" i="10"/>
  <c r="K27" i="10"/>
  <c r="L27" i="10"/>
  <c r="M27" i="10"/>
  <c r="N27" i="10"/>
  <c r="I28" i="10"/>
  <c r="J28" i="10"/>
  <c r="K28" i="10"/>
  <c r="L28" i="10"/>
  <c r="M28" i="10"/>
  <c r="N28" i="10"/>
  <c r="I29" i="10"/>
  <c r="J29" i="10"/>
  <c r="K29" i="10"/>
  <c r="L29" i="10"/>
  <c r="M29" i="10"/>
  <c r="N29" i="10"/>
  <c r="I30" i="10"/>
  <c r="J30" i="10"/>
  <c r="K30" i="10"/>
  <c r="L30" i="10"/>
  <c r="M30" i="10"/>
  <c r="N30" i="10"/>
  <c r="I31" i="10"/>
  <c r="J31" i="10"/>
  <c r="K31" i="10"/>
  <c r="L31" i="10"/>
  <c r="M31" i="10"/>
  <c r="N31" i="10"/>
  <c r="I32" i="10"/>
  <c r="J32" i="10"/>
  <c r="K32" i="10"/>
  <c r="L32" i="10"/>
  <c r="M32" i="10"/>
  <c r="N32" i="10"/>
  <c r="I33" i="10"/>
  <c r="J33" i="10"/>
  <c r="K33" i="10"/>
  <c r="L33" i="10"/>
  <c r="M33" i="10"/>
  <c r="N33" i="10"/>
  <c r="I34" i="10"/>
  <c r="J34" i="10"/>
  <c r="K34" i="10"/>
  <c r="L34" i="10"/>
  <c r="M34" i="10"/>
  <c r="N34" i="10"/>
  <c r="I35" i="10"/>
  <c r="J35" i="10"/>
  <c r="K35" i="10"/>
  <c r="L35" i="10"/>
  <c r="M35" i="10"/>
  <c r="N35" i="10"/>
  <c r="I36" i="10"/>
  <c r="J36" i="10"/>
  <c r="K36" i="10"/>
  <c r="L36" i="10"/>
  <c r="M36" i="10"/>
  <c r="N36" i="10"/>
  <c r="I37" i="10"/>
  <c r="J37" i="10"/>
  <c r="K37" i="10"/>
  <c r="L37" i="10"/>
  <c r="M37" i="10"/>
  <c r="N37" i="10"/>
  <c r="I38" i="10"/>
  <c r="J38" i="10"/>
  <c r="K38" i="10"/>
  <c r="L38" i="10"/>
  <c r="M38" i="10"/>
  <c r="N38" i="10"/>
  <c r="I39" i="10"/>
  <c r="J39" i="10"/>
  <c r="K39" i="10"/>
  <c r="L39" i="10"/>
  <c r="M39" i="10"/>
  <c r="N39" i="10"/>
  <c r="I40" i="10"/>
  <c r="J40" i="10"/>
  <c r="K40" i="10"/>
  <c r="L40" i="10"/>
  <c r="M40" i="10"/>
  <c r="N40" i="10"/>
  <c r="I41" i="10"/>
  <c r="J41" i="10"/>
  <c r="K41" i="10"/>
  <c r="L41" i="10"/>
  <c r="M41" i="10"/>
  <c r="N41" i="10"/>
  <c r="I42" i="10"/>
  <c r="J42" i="10"/>
  <c r="K42" i="10"/>
  <c r="L42" i="10"/>
  <c r="M42" i="10"/>
  <c r="N42" i="10"/>
  <c r="I43" i="10"/>
  <c r="J43" i="10"/>
  <c r="K43" i="10"/>
  <c r="L43" i="10"/>
  <c r="M43" i="10"/>
  <c r="N43" i="10"/>
  <c r="I44" i="10"/>
  <c r="J44" i="10"/>
  <c r="K44" i="10"/>
  <c r="L44" i="10"/>
  <c r="M44" i="10"/>
  <c r="N44" i="10"/>
  <c r="I45" i="10"/>
  <c r="J45" i="10"/>
  <c r="K45" i="10"/>
  <c r="L45" i="10"/>
  <c r="M45" i="10"/>
  <c r="N45" i="10"/>
  <c r="I46" i="10"/>
  <c r="J46" i="10"/>
  <c r="K46" i="10"/>
  <c r="L46" i="10"/>
  <c r="M46" i="10"/>
  <c r="N46" i="10"/>
  <c r="I47" i="10"/>
  <c r="J47" i="10"/>
  <c r="K47" i="10"/>
  <c r="L47" i="10"/>
  <c r="M47" i="10"/>
  <c r="N47" i="10"/>
  <c r="I48" i="10"/>
  <c r="J48" i="10"/>
  <c r="K48" i="10"/>
  <c r="L48" i="10"/>
  <c r="M48" i="10"/>
  <c r="N48" i="10"/>
  <c r="I49" i="10"/>
  <c r="J49" i="10"/>
  <c r="K49" i="10"/>
  <c r="L49" i="10"/>
  <c r="M49" i="10"/>
  <c r="N49" i="10"/>
  <c r="I50" i="10"/>
  <c r="J50" i="10"/>
  <c r="K50" i="10"/>
  <c r="L50" i="10"/>
  <c r="M50" i="10"/>
  <c r="N50" i="10"/>
  <c r="I51" i="10"/>
  <c r="J51" i="10"/>
  <c r="K51" i="10"/>
  <c r="L51" i="10"/>
  <c r="M51" i="10"/>
  <c r="N51" i="10"/>
  <c r="I52" i="10"/>
  <c r="J52" i="10"/>
  <c r="K52" i="10"/>
  <c r="L52" i="10"/>
  <c r="M52" i="10"/>
  <c r="N52" i="10"/>
  <c r="I53" i="10"/>
  <c r="J53" i="10"/>
  <c r="K53" i="10"/>
  <c r="L53" i="10"/>
  <c r="M53" i="10"/>
  <c r="N53" i="10"/>
  <c r="I54" i="10"/>
  <c r="J54" i="10"/>
  <c r="K54" i="10"/>
  <c r="L54" i="10"/>
  <c r="M54" i="10"/>
  <c r="N54" i="10"/>
  <c r="I55" i="10"/>
  <c r="J55" i="10"/>
  <c r="K55" i="10"/>
  <c r="L55" i="10"/>
  <c r="M55" i="10"/>
  <c r="N55" i="10"/>
  <c r="I56" i="10"/>
  <c r="J56" i="10"/>
  <c r="K56" i="10"/>
  <c r="L56" i="10"/>
  <c r="M56" i="10"/>
  <c r="N56" i="10"/>
  <c r="I57" i="10"/>
  <c r="J57" i="10"/>
  <c r="K57" i="10"/>
  <c r="L57" i="10"/>
  <c r="M57" i="10"/>
  <c r="N57" i="10"/>
  <c r="I58" i="10"/>
  <c r="J58" i="10"/>
  <c r="K58" i="10"/>
  <c r="L58" i="10"/>
  <c r="M58" i="10"/>
  <c r="N58" i="10"/>
  <c r="I59" i="10"/>
  <c r="J59" i="10"/>
  <c r="K59" i="10"/>
  <c r="L59" i="10"/>
  <c r="M59" i="10"/>
  <c r="N59" i="10"/>
  <c r="I60" i="10"/>
  <c r="J60" i="10"/>
  <c r="K60" i="10"/>
  <c r="L60" i="10"/>
  <c r="M60" i="10"/>
  <c r="N60" i="10"/>
  <c r="H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1" i="10"/>
  <c r="Q5" i="9"/>
  <c r="Q6" i="9"/>
  <c r="Q7" i="9"/>
  <c r="Q8" i="9"/>
  <c r="Q9" i="9"/>
  <c r="Q10" i="9"/>
  <c r="Q11" i="9"/>
  <c r="R11" i="9" s="1"/>
  <c r="Q12" i="9"/>
  <c r="R12" i="9" s="1"/>
  <c r="Q13" i="9"/>
  <c r="Q14" i="9"/>
  <c r="Q15" i="9"/>
  <c r="Q16" i="9"/>
  <c r="Q17" i="9"/>
  <c r="Q18" i="9"/>
  <c r="Q19" i="9"/>
  <c r="Q20" i="9"/>
  <c r="R20" i="9" s="1"/>
  <c r="Q21" i="9"/>
  <c r="Q22" i="9"/>
  <c r="Q23" i="9"/>
  <c r="Q24" i="9"/>
  <c r="Q25" i="9"/>
  <c r="Q26" i="9"/>
  <c r="Q27" i="9"/>
  <c r="R27" i="9" s="1"/>
  <c r="Q28" i="9"/>
  <c r="Q29" i="9"/>
  <c r="Q30" i="9"/>
  <c r="Q31" i="9"/>
  <c r="Q32" i="9"/>
  <c r="Q33" i="9"/>
  <c r="Q34" i="9"/>
  <c r="Q35" i="9"/>
  <c r="Q36" i="9"/>
  <c r="R36" i="9" s="1"/>
  <c r="Q37" i="9"/>
  <c r="Q38" i="9"/>
  <c r="Q39" i="9"/>
  <c r="Q40" i="9"/>
  <c r="Q41" i="9"/>
  <c r="R41" i="9" s="1"/>
  <c r="Q42" i="9"/>
  <c r="R42" i="9" s="1"/>
  <c r="Q43" i="9"/>
  <c r="R43" i="9" s="1"/>
  <c r="Q44" i="9"/>
  <c r="R44" i="9" s="1"/>
  <c r="Q45" i="9"/>
  <c r="Q46" i="9"/>
  <c r="Q47" i="9"/>
  <c r="Q48" i="9"/>
  <c r="Q49" i="9"/>
  <c r="R49" i="9" s="1"/>
  <c r="Q50" i="9"/>
  <c r="R50" i="9" s="1"/>
  <c r="Q51" i="9"/>
  <c r="R51" i="9" s="1"/>
  <c r="Q52" i="9"/>
  <c r="R52" i="9" s="1"/>
  <c r="Q53" i="9"/>
  <c r="Q54" i="9"/>
  <c r="Q55" i="9"/>
  <c r="Q56" i="9"/>
  <c r="R56" i="9" s="1"/>
  <c r="Q57" i="9"/>
  <c r="Q58" i="9"/>
  <c r="Q59" i="9"/>
  <c r="R59" i="9" s="1"/>
  <c r="Q60" i="9"/>
  <c r="R60" i="9" s="1"/>
  <c r="Q4" i="9"/>
  <c r="R55" i="9"/>
  <c r="R17" i="9"/>
  <c r="R33" i="9"/>
  <c r="R35" i="9"/>
  <c r="R5" i="9"/>
  <c r="R6" i="9"/>
  <c r="R7" i="9"/>
  <c r="R8" i="9"/>
  <c r="R9" i="9"/>
  <c r="R10" i="9"/>
  <c r="R13" i="9"/>
  <c r="R14" i="9"/>
  <c r="R15" i="9"/>
  <c r="R16" i="9"/>
  <c r="R18" i="9"/>
  <c r="R19" i="9"/>
  <c r="R21" i="9"/>
  <c r="R22" i="9"/>
  <c r="R23" i="9"/>
  <c r="R24" i="9"/>
  <c r="R25" i="9"/>
  <c r="R26" i="9"/>
  <c r="R28" i="9"/>
  <c r="R29" i="9"/>
  <c r="R30" i="9"/>
  <c r="R31" i="9"/>
  <c r="R32" i="9"/>
  <c r="R34" i="9"/>
  <c r="R37" i="9"/>
  <c r="R38" i="9"/>
  <c r="R39" i="9"/>
  <c r="R40" i="9"/>
  <c r="R45" i="9"/>
  <c r="R46" i="9"/>
  <c r="R47" i="9"/>
  <c r="R48" i="9"/>
  <c r="R53" i="9"/>
  <c r="R54" i="9"/>
  <c r="R57" i="9"/>
  <c r="R58" i="9"/>
  <c r="R4" i="9"/>
  <c r="M5" i="7"/>
  <c r="N5" i="7"/>
  <c r="O5" i="7"/>
  <c r="P5" i="7"/>
  <c r="Q5" i="7"/>
  <c r="R5" i="7"/>
  <c r="S5" i="7"/>
  <c r="M6" i="7"/>
  <c r="N6" i="7"/>
  <c r="O6" i="7"/>
  <c r="P6" i="7"/>
  <c r="Q6" i="7"/>
  <c r="R6" i="7"/>
  <c r="S6" i="7"/>
  <c r="M7" i="7"/>
  <c r="N7" i="7"/>
  <c r="O7" i="7"/>
  <c r="P7" i="7"/>
  <c r="Q7" i="7"/>
  <c r="R7" i="7"/>
  <c r="S7" i="7"/>
  <c r="M8" i="7"/>
  <c r="N8" i="7"/>
  <c r="O8" i="7"/>
  <c r="P8" i="7"/>
  <c r="Q8" i="7"/>
  <c r="R8" i="7"/>
  <c r="S8" i="7"/>
  <c r="M9" i="7"/>
  <c r="N9" i="7"/>
  <c r="O9" i="7"/>
  <c r="P9" i="7"/>
  <c r="Q9" i="7"/>
  <c r="R9" i="7"/>
  <c r="S9" i="7"/>
  <c r="M10" i="7"/>
  <c r="N10" i="7"/>
  <c r="O10" i="7"/>
  <c r="P10" i="7"/>
  <c r="Q10" i="7"/>
  <c r="R10" i="7"/>
  <c r="S10" i="7"/>
  <c r="M11" i="7"/>
  <c r="N11" i="7"/>
  <c r="O11" i="7"/>
  <c r="P11" i="7"/>
  <c r="Q11" i="7"/>
  <c r="R11" i="7"/>
  <c r="S11" i="7"/>
  <c r="M12" i="7"/>
  <c r="N12" i="7"/>
  <c r="O12" i="7"/>
  <c r="P12" i="7"/>
  <c r="Q12" i="7"/>
  <c r="R12" i="7"/>
  <c r="S12" i="7"/>
  <c r="M13" i="7"/>
  <c r="N13" i="7"/>
  <c r="O13" i="7"/>
  <c r="P13" i="7"/>
  <c r="Q13" i="7"/>
  <c r="R13" i="7"/>
  <c r="S13" i="7"/>
  <c r="M14" i="7"/>
  <c r="N14" i="7"/>
  <c r="O14" i="7"/>
  <c r="P14" i="7"/>
  <c r="Q14" i="7"/>
  <c r="R14" i="7"/>
  <c r="S14" i="7"/>
  <c r="M15" i="7"/>
  <c r="N15" i="7"/>
  <c r="O15" i="7"/>
  <c r="P15" i="7"/>
  <c r="Q15" i="7"/>
  <c r="R15" i="7"/>
  <c r="S15" i="7"/>
  <c r="M16" i="7"/>
  <c r="N16" i="7"/>
  <c r="O16" i="7"/>
  <c r="P16" i="7"/>
  <c r="Q16" i="7"/>
  <c r="R16" i="7"/>
  <c r="S16" i="7"/>
  <c r="M17" i="7"/>
  <c r="N17" i="7"/>
  <c r="O17" i="7"/>
  <c r="P17" i="7"/>
  <c r="Q17" i="7"/>
  <c r="R17" i="7"/>
  <c r="S17" i="7"/>
  <c r="M18" i="7"/>
  <c r="N18" i="7"/>
  <c r="O18" i="7"/>
  <c r="P18" i="7"/>
  <c r="Q18" i="7"/>
  <c r="R18" i="7"/>
  <c r="S18" i="7"/>
  <c r="M19" i="7"/>
  <c r="N19" i="7"/>
  <c r="O19" i="7"/>
  <c r="P19" i="7"/>
  <c r="Q19" i="7"/>
  <c r="R19" i="7"/>
  <c r="S19" i="7"/>
  <c r="M20" i="7"/>
  <c r="N20" i="7"/>
  <c r="O20" i="7"/>
  <c r="P20" i="7"/>
  <c r="Q20" i="7"/>
  <c r="R20" i="7"/>
  <c r="S20" i="7"/>
  <c r="M21" i="7"/>
  <c r="N21" i="7"/>
  <c r="O21" i="7"/>
  <c r="P21" i="7"/>
  <c r="Q21" i="7"/>
  <c r="R21" i="7"/>
  <c r="S21" i="7"/>
  <c r="M22" i="7"/>
  <c r="N22" i="7"/>
  <c r="O22" i="7"/>
  <c r="P22" i="7"/>
  <c r="Q22" i="7"/>
  <c r="R22" i="7"/>
  <c r="S22" i="7"/>
  <c r="M23" i="7"/>
  <c r="N23" i="7"/>
  <c r="O23" i="7"/>
  <c r="P23" i="7"/>
  <c r="Q23" i="7"/>
  <c r="R23" i="7"/>
  <c r="S23" i="7"/>
  <c r="M24" i="7"/>
  <c r="N24" i="7"/>
  <c r="O24" i="7"/>
  <c r="P24" i="7"/>
  <c r="Q24" i="7"/>
  <c r="R24" i="7"/>
  <c r="S24" i="7"/>
  <c r="M25" i="7"/>
  <c r="N25" i="7"/>
  <c r="O25" i="7"/>
  <c r="P25" i="7"/>
  <c r="Q25" i="7"/>
  <c r="R25" i="7"/>
  <c r="S25" i="7"/>
  <c r="M26" i="7"/>
  <c r="N26" i="7"/>
  <c r="O26" i="7"/>
  <c r="P26" i="7"/>
  <c r="Q26" i="7"/>
  <c r="R26" i="7"/>
  <c r="S26" i="7"/>
  <c r="M27" i="7"/>
  <c r="N27" i="7"/>
  <c r="O27" i="7"/>
  <c r="P27" i="7"/>
  <c r="Q27" i="7"/>
  <c r="R27" i="7"/>
  <c r="S27" i="7"/>
  <c r="M28" i="7"/>
  <c r="N28" i="7"/>
  <c r="O28" i="7"/>
  <c r="P28" i="7"/>
  <c r="Q28" i="7"/>
  <c r="R28" i="7"/>
  <c r="S28" i="7"/>
  <c r="M29" i="7"/>
  <c r="N29" i="7"/>
  <c r="O29" i="7"/>
  <c r="P29" i="7"/>
  <c r="Q29" i="7"/>
  <c r="R29" i="7"/>
  <c r="S29" i="7"/>
  <c r="M30" i="7"/>
  <c r="N30" i="7"/>
  <c r="O30" i="7"/>
  <c r="P30" i="7"/>
  <c r="Q30" i="7"/>
  <c r="R30" i="7"/>
  <c r="S30" i="7"/>
  <c r="M31" i="7"/>
  <c r="N31" i="7"/>
  <c r="O31" i="7"/>
  <c r="P31" i="7"/>
  <c r="Q31" i="7"/>
  <c r="R31" i="7"/>
  <c r="S31" i="7"/>
  <c r="M32" i="7"/>
  <c r="N32" i="7"/>
  <c r="O32" i="7"/>
  <c r="P32" i="7"/>
  <c r="Q32" i="7"/>
  <c r="R32" i="7"/>
  <c r="S32" i="7"/>
  <c r="M33" i="7"/>
  <c r="N33" i="7"/>
  <c r="O33" i="7"/>
  <c r="P33" i="7"/>
  <c r="Q33" i="7"/>
  <c r="R33" i="7"/>
  <c r="S33" i="7"/>
  <c r="M34" i="7"/>
  <c r="N34" i="7"/>
  <c r="O34" i="7"/>
  <c r="P34" i="7"/>
  <c r="Q34" i="7"/>
  <c r="R34" i="7"/>
  <c r="S34" i="7"/>
  <c r="M35" i="7"/>
  <c r="N35" i="7"/>
  <c r="O35" i="7"/>
  <c r="P35" i="7"/>
  <c r="Q35" i="7"/>
  <c r="R35" i="7"/>
  <c r="S35" i="7"/>
  <c r="M36" i="7"/>
  <c r="N36" i="7"/>
  <c r="O36" i="7"/>
  <c r="P36" i="7"/>
  <c r="Q36" i="7"/>
  <c r="R36" i="7"/>
  <c r="S36" i="7"/>
  <c r="M37" i="7"/>
  <c r="N37" i="7"/>
  <c r="O37" i="7"/>
  <c r="P37" i="7"/>
  <c r="Q37" i="7"/>
  <c r="R37" i="7"/>
  <c r="S37" i="7"/>
  <c r="M38" i="7"/>
  <c r="N38" i="7"/>
  <c r="O38" i="7"/>
  <c r="P38" i="7"/>
  <c r="Q38" i="7"/>
  <c r="R38" i="7"/>
  <c r="S38" i="7"/>
  <c r="M39" i="7"/>
  <c r="N39" i="7"/>
  <c r="O39" i="7"/>
  <c r="P39" i="7"/>
  <c r="Q39" i="7"/>
  <c r="R39" i="7"/>
  <c r="S39" i="7"/>
  <c r="M40" i="7"/>
  <c r="N40" i="7"/>
  <c r="O40" i="7"/>
  <c r="P40" i="7"/>
  <c r="Q40" i="7"/>
  <c r="R40" i="7"/>
  <c r="S40" i="7"/>
  <c r="M41" i="7"/>
  <c r="N41" i="7"/>
  <c r="O41" i="7"/>
  <c r="P41" i="7"/>
  <c r="Q41" i="7"/>
  <c r="R41" i="7"/>
  <c r="S41" i="7"/>
  <c r="M42" i="7"/>
  <c r="N42" i="7"/>
  <c r="O42" i="7"/>
  <c r="P42" i="7"/>
  <c r="Q42" i="7"/>
  <c r="R42" i="7"/>
  <c r="S42" i="7"/>
  <c r="M43" i="7"/>
  <c r="N43" i="7"/>
  <c r="O43" i="7"/>
  <c r="P43" i="7"/>
  <c r="Q43" i="7"/>
  <c r="R43" i="7"/>
  <c r="S43" i="7"/>
  <c r="M44" i="7"/>
  <c r="N44" i="7"/>
  <c r="O44" i="7"/>
  <c r="P44" i="7"/>
  <c r="Q44" i="7"/>
  <c r="R44" i="7"/>
  <c r="S44" i="7"/>
  <c r="M45" i="7"/>
  <c r="N45" i="7"/>
  <c r="O45" i="7"/>
  <c r="P45" i="7"/>
  <c r="Q45" i="7"/>
  <c r="R45" i="7"/>
  <c r="S45" i="7"/>
  <c r="M46" i="7"/>
  <c r="N46" i="7"/>
  <c r="O46" i="7"/>
  <c r="P46" i="7"/>
  <c r="Q46" i="7"/>
  <c r="R46" i="7"/>
  <c r="S46" i="7"/>
  <c r="M47" i="7"/>
  <c r="N47" i="7"/>
  <c r="O47" i="7"/>
  <c r="P47" i="7"/>
  <c r="Q47" i="7"/>
  <c r="R47" i="7"/>
  <c r="S47" i="7"/>
  <c r="M48" i="7"/>
  <c r="N48" i="7"/>
  <c r="O48" i="7"/>
  <c r="P48" i="7"/>
  <c r="Q48" i="7"/>
  <c r="R48" i="7"/>
  <c r="S48" i="7"/>
  <c r="M49" i="7"/>
  <c r="N49" i="7"/>
  <c r="O49" i="7"/>
  <c r="P49" i="7"/>
  <c r="Q49" i="7"/>
  <c r="R49" i="7"/>
  <c r="S49" i="7"/>
  <c r="M50" i="7"/>
  <c r="N50" i="7"/>
  <c r="O50" i="7"/>
  <c r="P50" i="7"/>
  <c r="Q50" i="7"/>
  <c r="R50" i="7"/>
  <c r="S50" i="7"/>
  <c r="M51" i="7"/>
  <c r="N51" i="7"/>
  <c r="O51" i="7"/>
  <c r="P51" i="7"/>
  <c r="Q51" i="7"/>
  <c r="R51" i="7"/>
  <c r="S51" i="7"/>
  <c r="M52" i="7"/>
  <c r="N52" i="7"/>
  <c r="O52" i="7"/>
  <c r="P52" i="7"/>
  <c r="Q52" i="7"/>
  <c r="R52" i="7"/>
  <c r="S52" i="7"/>
  <c r="M53" i="7"/>
  <c r="N53" i="7"/>
  <c r="O53" i="7"/>
  <c r="P53" i="7"/>
  <c r="Q53" i="7"/>
  <c r="R53" i="7"/>
  <c r="S53" i="7"/>
  <c r="M54" i="7"/>
  <c r="N54" i="7"/>
  <c r="O54" i="7"/>
  <c r="P54" i="7"/>
  <c r="Q54" i="7"/>
  <c r="R54" i="7"/>
  <c r="S54" i="7"/>
  <c r="M55" i="7"/>
  <c r="N55" i="7"/>
  <c r="O55" i="7"/>
  <c r="P55" i="7"/>
  <c r="Q55" i="7"/>
  <c r="R55" i="7"/>
  <c r="S55" i="7"/>
  <c r="M56" i="7"/>
  <c r="N56" i="7"/>
  <c r="O56" i="7"/>
  <c r="P56" i="7"/>
  <c r="Q56" i="7"/>
  <c r="R56" i="7"/>
  <c r="S56" i="7"/>
  <c r="M57" i="7"/>
  <c r="N57" i="7"/>
  <c r="O57" i="7"/>
  <c r="P57" i="7"/>
  <c r="Q57" i="7"/>
  <c r="R57" i="7"/>
  <c r="S57" i="7"/>
  <c r="M58" i="7"/>
  <c r="N58" i="7"/>
  <c r="O58" i="7"/>
  <c r="P58" i="7"/>
  <c r="Q58" i="7"/>
  <c r="R58" i="7"/>
  <c r="S58" i="7"/>
  <c r="M59" i="7"/>
  <c r="N59" i="7"/>
  <c r="O59" i="7"/>
  <c r="P59" i="7"/>
  <c r="Q59" i="7"/>
  <c r="R59" i="7"/>
  <c r="S59" i="7"/>
  <c r="M60" i="7"/>
  <c r="N60" i="7"/>
  <c r="O60" i="7"/>
  <c r="P60" i="7"/>
  <c r="Q60" i="7"/>
  <c r="R60" i="7"/>
  <c r="S60" i="7"/>
  <c r="M61" i="7"/>
  <c r="N61" i="7"/>
  <c r="O61" i="7"/>
  <c r="P61" i="7"/>
  <c r="Q61" i="7"/>
  <c r="R61" i="7"/>
  <c r="S61" i="7"/>
  <c r="M62" i="7"/>
  <c r="N62" i="7"/>
  <c r="O62" i="7"/>
  <c r="P62" i="7"/>
  <c r="Q62" i="7"/>
  <c r="R62" i="7"/>
  <c r="S62" i="7"/>
  <c r="M63" i="7"/>
  <c r="N63" i="7"/>
  <c r="O63" i="7"/>
  <c r="P63" i="7"/>
  <c r="Q63" i="7"/>
  <c r="R63" i="7"/>
  <c r="S63" i="7"/>
  <c r="P4" i="7"/>
  <c r="Q4" i="7"/>
  <c r="R4" i="7"/>
  <c r="S4" i="7"/>
  <c r="O4" i="7"/>
  <c r="N4" i="7"/>
  <c r="M4" i="7"/>
  <c r="Z61" i="7"/>
  <c r="AH61" i="7" s="1"/>
  <c r="AP61" i="7" s="1"/>
  <c r="AX61" i="7" s="1"/>
  <c r="X60" i="7"/>
  <c r="AF60" i="7" s="1"/>
  <c r="AN60" i="7" s="1"/>
  <c r="Z57" i="7"/>
  <c r="AH57" i="7" s="1"/>
  <c r="AP57" i="7" s="1"/>
  <c r="AX57" i="7" s="1"/>
  <c r="X56" i="7"/>
  <c r="AF56" i="7" s="1"/>
  <c r="AN56" i="7" s="1"/>
  <c r="AB54" i="7"/>
  <c r="AJ54" i="7" s="1"/>
  <c r="AR54" i="7" s="1"/>
  <c r="AZ54" i="7" s="1"/>
  <c r="Z53" i="7"/>
  <c r="AH53" i="7" s="1"/>
  <c r="AP53" i="7" s="1"/>
  <c r="AX53" i="7" s="1"/>
  <c r="X52" i="7"/>
  <c r="AF52" i="7" s="1"/>
  <c r="AN52" i="7" s="1"/>
  <c r="Z49" i="7"/>
  <c r="AH49" i="7" s="1"/>
  <c r="AP49" i="7" s="1"/>
  <c r="AX49" i="7" s="1"/>
  <c r="X48" i="7"/>
  <c r="AF48" i="7" s="1"/>
  <c r="AN48" i="7" s="1"/>
  <c r="AB46" i="7"/>
  <c r="AJ46" i="7" s="1"/>
  <c r="AR46" i="7" s="1"/>
  <c r="AZ46" i="7" s="1"/>
  <c r="Z45" i="7"/>
  <c r="AH45" i="7" s="1"/>
  <c r="AP45" i="7" s="1"/>
  <c r="AX45" i="7" s="1"/>
  <c r="X44" i="7"/>
  <c r="AF44" i="7" s="1"/>
  <c r="AN44" i="7" s="1"/>
  <c r="Z41" i="7"/>
  <c r="AH41" i="7" s="1"/>
  <c r="AP41" i="7" s="1"/>
  <c r="AX41" i="7" s="1"/>
  <c r="X40" i="7"/>
  <c r="AF40" i="7" s="1"/>
  <c r="AN40" i="7" s="1"/>
  <c r="AB38" i="7"/>
  <c r="AJ38" i="7" s="1"/>
  <c r="AR38" i="7" s="1"/>
  <c r="AZ38" i="7" s="1"/>
  <c r="Z37" i="7"/>
  <c r="AH37" i="7" s="1"/>
  <c r="AP37" i="7" s="1"/>
  <c r="AX37" i="7" s="1"/>
  <c r="X36" i="7"/>
  <c r="AF36" i="7" s="1"/>
  <c r="AN36" i="7" s="1"/>
  <c r="Z33" i="7"/>
  <c r="AH33" i="7" s="1"/>
  <c r="AP33" i="7" s="1"/>
  <c r="AX33" i="7" s="1"/>
  <c r="X32" i="7"/>
  <c r="AF32" i="7" s="1"/>
  <c r="AN32" i="7" s="1"/>
  <c r="AB30" i="7"/>
  <c r="AJ30" i="7" s="1"/>
  <c r="AR30" i="7" s="1"/>
  <c r="AZ30" i="7" s="1"/>
  <c r="Z29" i="7"/>
  <c r="AH29" i="7" s="1"/>
  <c r="AP29" i="7" s="1"/>
  <c r="AX29" i="7" s="1"/>
  <c r="X28" i="7"/>
  <c r="AF28" i="7" s="1"/>
  <c r="AN28" i="7" s="1"/>
  <c r="Z25" i="7"/>
  <c r="AH25" i="7" s="1"/>
  <c r="AP25" i="7" s="1"/>
  <c r="AX25" i="7" s="1"/>
  <c r="X24" i="7"/>
  <c r="AF24" i="7" s="1"/>
  <c r="AN24" i="7" s="1"/>
  <c r="AB22" i="7"/>
  <c r="AJ22" i="7" s="1"/>
  <c r="AR22" i="7" s="1"/>
  <c r="AZ22" i="7" s="1"/>
  <c r="Z21" i="7"/>
  <c r="AH21" i="7" s="1"/>
  <c r="AP21" i="7" s="1"/>
  <c r="AX21" i="7" s="1"/>
  <c r="X20" i="7"/>
  <c r="AF20" i="7" s="1"/>
  <c r="AN20" i="7" s="1"/>
  <c r="Z17" i="7"/>
  <c r="AH17" i="7" s="1"/>
  <c r="AP17" i="7" s="1"/>
  <c r="AX17" i="7" s="1"/>
  <c r="X16" i="7"/>
  <c r="AF16" i="7" s="1"/>
  <c r="AN16" i="7" s="1"/>
  <c r="AB14" i="7"/>
  <c r="AJ14" i="7" s="1"/>
  <c r="AR14" i="7" s="1"/>
  <c r="AZ14" i="7" s="1"/>
  <c r="X12" i="7"/>
  <c r="AF12" i="7" s="1"/>
  <c r="AN12" i="7" s="1"/>
  <c r="Z9" i="7"/>
  <c r="AH9" i="7" s="1"/>
  <c r="AP9" i="7" s="1"/>
  <c r="AX9" i="7" s="1"/>
  <c r="X8" i="7"/>
  <c r="AF8" i="7" s="1"/>
  <c r="AN8" i="7" s="1"/>
  <c r="X4" i="7"/>
  <c r="AF4" i="7" s="1"/>
  <c r="AN4" i="7" s="1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4" i="9"/>
  <c r="W4" i="7"/>
  <c r="AE4" i="7" s="1"/>
  <c r="AM4" i="7" s="1"/>
  <c r="H38" i="8"/>
  <c r="H35" i="8"/>
  <c r="H50" i="8"/>
  <c r="H53" i="8"/>
  <c r="H45" i="8"/>
  <c r="H55" i="8"/>
  <c r="H61" i="8"/>
  <c r="H30" i="8"/>
  <c r="H29" i="8"/>
  <c r="H28" i="8"/>
  <c r="H27" i="8"/>
  <c r="H26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4" i="8"/>
  <c r="H43" i="8"/>
  <c r="H42" i="8"/>
  <c r="H51" i="8"/>
  <c r="H58" i="8"/>
  <c r="H59" i="8"/>
  <c r="H31" i="8"/>
  <c r="H34" i="8"/>
  <c r="H37" i="8"/>
  <c r="H39" i="8"/>
  <c r="H47" i="8"/>
  <c r="H63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32" i="8"/>
  <c r="H33" i="8"/>
  <c r="H36" i="8"/>
  <c r="H40" i="8"/>
  <c r="H41" i="8"/>
  <c r="H44" i="8"/>
  <c r="H46" i="8"/>
  <c r="H48" i="8"/>
  <c r="H49" i="8"/>
  <c r="H52" i="8"/>
  <c r="H54" i="8"/>
  <c r="H56" i="8"/>
  <c r="H57" i="8"/>
  <c r="H60" i="8"/>
  <c r="H62" i="8"/>
  <c r="H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4" i="8"/>
  <c r="Q30" i="8"/>
  <c r="O30" i="8"/>
  <c r="Q29" i="8"/>
  <c r="O29" i="8"/>
  <c r="Q28" i="8"/>
  <c r="O28" i="8"/>
  <c r="Q27" i="8"/>
  <c r="O27" i="8"/>
  <c r="Q26" i="8"/>
  <c r="O26" i="8"/>
  <c r="Q25" i="8"/>
  <c r="O25" i="8"/>
  <c r="Q24" i="8"/>
  <c r="O24" i="8"/>
  <c r="Q23" i="8"/>
  <c r="O23" i="8"/>
  <c r="Q22" i="8"/>
  <c r="O22" i="8"/>
  <c r="Q21" i="8"/>
  <c r="O21" i="8"/>
  <c r="Q20" i="8"/>
  <c r="O20" i="8"/>
  <c r="Q19" i="8"/>
  <c r="O19" i="8"/>
  <c r="Q18" i="8"/>
  <c r="O18" i="8"/>
  <c r="Q17" i="8"/>
  <c r="O17" i="8"/>
  <c r="Q16" i="8"/>
  <c r="O16" i="8"/>
  <c r="Q15" i="8"/>
  <c r="O15" i="8"/>
  <c r="Q14" i="8"/>
  <c r="O14" i="8"/>
  <c r="Q13" i="8"/>
  <c r="O13" i="8"/>
  <c r="Q12" i="8"/>
  <c r="O12" i="8"/>
  <c r="Q11" i="8"/>
  <c r="O11" i="8"/>
  <c r="Q10" i="8"/>
  <c r="O10" i="8"/>
  <c r="Q9" i="8"/>
  <c r="O9" i="8"/>
  <c r="Q8" i="8"/>
  <c r="O8" i="8"/>
  <c r="Q7" i="8"/>
  <c r="O7" i="8"/>
  <c r="Q6" i="8"/>
  <c r="O6" i="8"/>
  <c r="W5" i="7"/>
  <c r="AE5" i="7" s="1"/>
  <c r="AM5" i="7" s="1"/>
  <c r="AU5" i="7" s="1"/>
  <c r="W20" i="7"/>
  <c r="AE20" i="7" s="1"/>
  <c r="AM20" i="7" s="1"/>
  <c r="AU20" i="7" s="1"/>
  <c r="AU4" i="7"/>
  <c r="Y4" i="7"/>
  <c r="AG4" i="7" s="1"/>
  <c r="AO4" i="7" s="1"/>
  <c r="AW4" i="7" s="1"/>
  <c r="Z4" i="7"/>
  <c r="AH4" i="7" s="1"/>
  <c r="AP4" i="7" s="1"/>
  <c r="AX4" i="7" s="1"/>
  <c r="AA4" i="7"/>
  <c r="AI4" i="7" s="1"/>
  <c r="AQ4" i="7" s="1"/>
  <c r="AY4" i="7" s="1"/>
  <c r="AB4" i="7"/>
  <c r="AJ4" i="7" s="1"/>
  <c r="AR4" i="7" s="1"/>
  <c r="AZ4" i="7" s="1"/>
  <c r="X5" i="7"/>
  <c r="AF5" i="7" s="1"/>
  <c r="AN5" i="7" s="1"/>
  <c r="Y5" i="7"/>
  <c r="AG5" i="7" s="1"/>
  <c r="AO5" i="7" s="1"/>
  <c r="AW5" i="7" s="1"/>
  <c r="AA5" i="7"/>
  <c r="AI5" i="7" s="1"/>
  <c r="AQ5" i="7" s="1"/>
  <c r="AY5" i="7" s="1"/>
  <c r="AB5" i="7"/>
  <c r="AJ5" i="7" s="1"/>
  <c r="AR5" i="7" s="1"/>
  <c r="AZ5" i="7" s="1"/>
  <c r="X6" i="7"/>
  <c r="AF6" i="7" s="1"/>
  <c r="AN6" i="7" s="1"/>
  <c r="Y6" i="7"/>
  <c r="AG6" i="7" s="1"/>
  <c r="AO6" i="7" s="1"/>
  <c r="AW6" i="7" s="1"/>
  <c r="Z6" i="7"/>
  <c r="AH6" i="7" s="1"/>
  <c r="AP6" i="7" s="1"/>
  <c r="AX6" i="7" s="1"/>
  <c r="AA6" i="7"/>
  <c r="AI6" i="7" s="1"/>
  <c r="AQ6" i="7" s="1"/>
  <c r="AY6" i="7" s="1"/>
  <c r="X7" i="7"/>
  <c r="AF7" i="7" s="1"/>
  <c r="AN7" i="7" s="1"/>
  <c r="Y7" i="7"/>
  <c r="AG7" i="7" s="1"/>
  <c r="AO7" i="7" s="1"/>
  <c r="AW7" i="7" s="1"/>
  <c r="Z7" i="7"/>
  <c r="AH7" i="7" s="1"/>
  <c r="AP7" i="7" s="1"/>
  <c r="AX7" i="7" s="1"/>
  <c r="AA7" i="7"/>
  <c r="AI7" i="7" s="1"/>
  <c r="AQ7" i="7" s="1"/>
  <c r="AY7" i="7" s="1"/>
  <c r="AB7" i="7"/>
  <c r="AJ7" i="7" s="1"/>
  <c r="AR7" i="7" s="1"/>
  <c r="AZ7" i="7" s="1"/>
  <c r="Y8" i="7"/>
  <c r="AG8" i="7" s="1"/>
  <c r="AO8" i="7" s="1"/>
  <c r="AW8" i="7" s="1"/>
  <c r="Z8" i="7"/>
  <c r="AH8" i="7" s="1"/>
  <c r="AP8" i="7" s="1"/>
  <c r="AX8" i="7" s="1"/>
  <c r="AA8" i="7"/>
  <c r="AI8" i="7" s="1"/>
  <c r="AQ8" i="7" s="1"/>
  <c r="AY8" i="7" s="1"/>
  <c r="AB8" i="7"/>
  <c r="AJ8" i="7" s="1"/>
  <c r="AR8" i="7" s="1"/>
  <c r="AZ8" i="7" s="1"/>
  <c r="X9" i="7"/>
  <c r="AF9" i="7" s="1"/>
  <c r="AN9" i="7" s="1"/>
  <c r="Y9" i="7"/>
  <c r="AG9" i="7" s="1"/>
  <c r="AO9" i="7" s="1"/>
  <c r="AW9" i="7" s="1"/>
  <c r="AA9" i="7"/>
  <c r="AI9" i="7" s="1"/>
  <c r="AQ9" i="7" s="1"/>
  <c r="AY9" i="7" s="1"/>
  <c r="AB9" i="7"/>
  <c r="AJ9" i="7" s="1"/>
  <c r="AR9" i="7" s="1"/>
  <c r="AZ9" i="7" s="1"/>
  <c r="X10" i="7"/>
  <c r="AF10" i="7" s="1"/>
  <c r="AN10" i="7" s="1"/>
  <c r="Y10" i="7"/>
  <c r="AG10" i="7" s="1"/>
  <c r="AO10" i="7" s="1"/>
  <c r="AW10" i="7" s="1"/>
  <c r="Z10" i="7"/>
  <c r="AH10" i="7" s="1"/>
  <c r="AP10" i="7" s="1"/>
  <c r="AX10" i="7" s="1"/>
  <c r="AA10" i="7"/>
  <c r="AI10" i="7" s="1"/>
  <c r="AQ10" i="7" s="1"/>
  <c r="AY10" i="7" s="1"/>
  <c r="AB10" i="7"/>
  <c r="AJ10" i="7" s="1"/>
  <c r="AR10" i="7" s="1"/>
  <c r="AZ10" i="7" s="1"/>
  <c r="X11" i="7"/>
  <c r="AF11" i="7" s="1"/>
  <c r="AN11" i="7" s="1"/>
  <c r="Y11" i="7"/>
  <c r="AG11" i="7" s="1"/>
  <c r="AO11" i="7" s="1"/>
  <c r="AW11" i="7" s="1"/>
  <c r="Z11" i="7"/>
  <c r="AH11" i="7" s="1"/>
  <c r="AP11" i="7" s="1"/>
  <c r="AX11" i="7" s="1"/>
  <c r="AA11" i="7"/>
  <c r="AI11" i="7" s="1"/>
  <c r="AQ11" i="7" s="1"/>
  <c r="AY11" i="7" s="1"/>
  <c r="AB11" i="7"/>
  <c r="AJ11" i="7" s="1"/>
  <c r="AR11" i="7" s="1"/>
  <c r="AZ11" i="7" s="1"/>
  <c r="Y12" i="7"/>
  <c r="AG12" i="7" s="1"/>
  <c r="AO12" i="7" s="1"/>
  <c r="AW12" i="7" s="1"/>
  <c r="Z12" i="7"/>
  <c r="AH12" i="7" s="1"/>
  <c r="AP12" i="7" s="1"/>
  <c r="AX12" i="7" s="1"/>
  <c r="AA12" i="7"/>
  <c r="AI12" i="7" s="1"/>
  <c r="AQ12" i="7" s="1"/>
  <c r="AY12" i="7" s="1"/>
  <c r="AB12" i="7"/>
  <c r="AJ12" i="7" s="1"/>
  <c r="AR12" i="7" s="1"/>
  <c r="AZ12" i="7" s="1"/>
  <c r="X13" i="7"/>
  <c r="AF13" i="7" s="1"/>
  <c r="AN13" i="7" s="1"/>
  <c r="Y13" i="7"/>
  <c r="AG13" i="7" s="1"/>
  <c r="AO13" i="7" s="1"/>
  <c r="AW13" i="7" s="1"/>
  <c r="AA13" i="7"/>
  <c r="AI13" i="7" s="1"/>
  <c r="AQ13" i="7" s="1"/>
  <c r="AY13" i="7" s="1"/>
  <c r="AB13" i="7"/>
  <c r="AJ13" i="7" s="1"/>
  <c r="AR13" i="7" s="1"/>
  <c r="AZ13" i="7" s="1"/>
  <c r="X14" i="7"/>
  <c r="AF14" i="7" s="1"/>
  <c r="AN14" i="7" s="1"/>
  <c r="Y14" i="7"/>
  <c r="AG14" i="7" s="1"/>
  <c r="AO14" i="7" s="1"/>
  <c r="AW14" i="7" s="1"/>
  <c r="Z14" i="7"/>
  <c r="AH14" i="7" s="1"/>
  <c r="AP14" i="7" s="1"/>
  <c r="AX14" i="7" s="1"/>
  <c r="AA14" i="7"/>
  <c r="AI14" i="7" s="1"/>
  <c r="AQ14" i="7" s="1"/>
  <c r="AY14" i="7" s="1"/>
  <c r="X15" i="7"/>
  <c r="AF15" i="7" s="1"/>
  <c r="AN15" i="7" s="1"/>
  <c r="Y15" i="7"/>
  <c r="AG15" i="7" s="1"/>
  <c r="AO15" i="7" s="1"/>
  <c r="AW15" i="7" s="1"/>
  <c r="Z15" i="7"/>
  <c r="AH15" i="7" s="1"/>
  <c r="AP15" i="7" s="1"/>
  <c r="AX15" i="7" s="1"/>
  <c r="AA15" i="7"/>
  <c r="AI15" i="7" s="1"/>
  <c r="AQ15" i="7" s="1"/>
  <c r="AY15" i="7" s="1"/>
  <c r="AB15" i="7"/>
  <c r="AJ15" i="7" s="1"/>
  <c r="AR15" i="7" s="1"/>
  <c r="AZ15" i="7" s="1"/>
  <c r="Y16" i="7"/>
  <c r="AG16" i="7" s="1"/>
  <c r="AO16" i="7" s="1"/>
  <c r="AW16" i="7" s="1"/>
  <c r="Z16" i="7"/>
  <c r="AH16" i="7" s="1"/>
  <c r="AP16" i="7" s="1"/>
  <c r="AX16" i="7" s="1"/>
  <c r="AA16" i="7"/>
  <c r="AI16" i="7" s="1"/>
  <c r="AQ16" i="7" s="1"/>
  <c r="AY16" i="7" s="1"/>
  <c r="AB16" i="7"/>
  <c r="AJ16" i="7" s="1"/>
  <c r="AR16" i="7" s="1"/>
  <c r="AZ16" i="7" s="1"/>
  <c r="X17" i="7"/>
  <c r="AF17" i="7" s="1"/>
  <c r="AN17" i="7" s="1"/>
  <c r="Y17" i="7"/>
  <c r="AG17" i="7" s="1"/>
  <c r="AO17" i="7" s="1"/>
  <c r="AW17" i="7" s="1"/>
  <c r="AA17" i="7"/>
  <c r="AI17" i="7" s="1"/>
  <c r="AQ17" i="7" s="1"/>
  <c r="AY17" i="7" s="1"/>
  <c r="AB17" i="7"/>
  <c r="AJ17" i="7" s="1"/>
  <c r="AR17" i="7" s="1"/>
  <c r="AZ17" i="7" s="1"/>
  <c r="X18" i="7"/>
  <c r="AF18" i="7" s="1"/>
  <c r="AN18" i="7" s="1"/>
  <c r="Y18" i="7"/>
  <c r="AG18" i="7" s="1"/>
  <c r="AO18" i="7" s="1"/>
  <c r="AW18" i="7" s="1"/>
  <c r="Z18" i="7"/>
  <c r="AH18" i="7" s="1"/>
  <c r="AP18" i="7" s="1"/>
  <c r="AX18" i="7" s="1"/>
  <c r="AA18" i="7"/>
  <c r="AI18" i="7" s="1"/>
  <c r="AQ18" i="7" s="1"/>
  <c r="AY18" i="7" s="1"/>
  <c r="AB18" i="7"/>
  <c r="AJ18" i="7" s="1"/>
  <c r="AR18" i="7" s="1"/>
  <c r="AZ18" i="7" s="1"/>
  <c r="X19" i="7"/>
  <c r="AF19" i="7" s="1"/>
  <c r="AN19" i="7" s="1"/>
  <c r="Y19" i="7"/>
  <c r="AG19" i="7" s="1"/>
  <c r="AO19" i="7" s="1"/>
  <c r="AW19" i="7" s="1"/>
  <c r="Z19" i="7"/>
  <c r="AH19" i="7" s="1"/>
  <c r="AP19" i="7" s="1"/>
  <c r="AX19" i="7" s="1"/>
  <c r="AA19" i="7"/>
  <c r="AI19" i="7" s="1"/>
  <c r="AQ19" i="7" s="1"/>
  <c r="AY19" i="7" s="1"/>
  <c r="AB19" i="7"/>
  <c r="AJ19" i="7" s="1"/>
  <c r="AR19" i="7" s="1"/>
  <c r="AZ19" i="7" s="1"/>
  <c r="Y20" i="7"/>
  <c r="AG20" i="7" s="1"/>
  <c r="AO20" i="7" s="1"/>
  <c r="AW20" i="7" s="1"/>
  <c r="Z20" i="7"/>
  <c r="AH20" i="7" s="1"/>
  <c r="AP20" i="7" s="1"/>
  <c r="AX20" i="7" s="1"/>
  <c r="AA20" i="7"/>
  <c r="AI20" i="7" s="1"/>
  <c r="AQ20" i="7" s="1"/>
  <c r="AY20" i="7" s="1"/>
  <c r="AB20" i="7"/>
  <c r="AJ20" i="7" s="1"/>
  <c r="AR20" i="7" s="1"/>
  <c r="AZ20" i="7" s="1"/>
  <c r="X21" i="7"/>
  <c r="AF21" i="7" s="1"/>
  <c r="AN21" i="7" s="1"/>
  <c r="Y21" i="7"/>
  <c r="AG21" i="7" s="1"/>
  <c r="AO21" i="7" s="1"/>
  <c r="AW21" i="7" s="1"/>
  <c r="AA21" i="7"/>
  <c r="AI21" i="7" s="1"/>
  <c r="AQ21" i="7" s="1"/>
  <c r="AY21" i="7" s="1"/>
  <c r="AB21" i="7"/>
  <c r="AJ21" i="7" s="1"/>
  <c r="AR21" i="7" s="1"/>
  <c r="AZ21" i="7" s="1"/>
  <c r="X22" i="7"/>
  <c r="AF22" i="7" s="1"/>
  <c r="AN22" i="7" s="1"/>
  <c r="Y22" i="7"/>
  <c r="AG22" i="7" s="1"/>
  <c r="AO22" i="7" s="1"/>
  <c r="AW22" i="7" s="1"/>
  <c r="Z22" i="7"/>
  <c r="AH22" i="7" s="1"/>
  <c r="AP22" i="7" s="1"/>
  <c r="AX22" i="7" s="1"/>
  <c r="AA22" i="7"/>
  <c r="AI22" i="7" s="1"/>
  <c r="AQ22" i="7" s="1"/>
  <c r="AY22" i="7" s="1"/>
  <c r="X23" i="7"/>
  <c r="AF23" i="7" s="1"/>
  <c r="AN23" i="7" s="1"/>
  <c r="Y23" i="7"/>
  <c r="AG23" i="7" s="1"/>
  <c r="AO23" i="7" s="1"/>
  <c r="AW23" i="7" s="1"/>
  <c r="Z23" i="7"/>
  <c r="AH23" i="7" s="1"/>
  <c r="AP23" i="7" s="1"/>
  <c r="AX23" i="7" s="1"/>
  <c r="AA23" i="7"/>
  <c r="AI23" i="7" s="1"/>
  <c r="AQ23" i="7" s="1"/>
  <c r="AY23" i="7" s="1"/>
  <c r="AB23" i="7"/>
  <c r="AJ23" i="7" s="1"/>
  <c r="AR23" i="7" s="1"/>
  <c r="AZ23" i="7" s="1"/>
  <c r="Y24" i="7"/>
  <c r="AG24" i="7" s="1"/>
  <c r="AO24" i="7" s="1"/>
  <c r="AW24" i="7" s="1"/>
  <c r="Z24" i="7"/>
  <c r="AH24" i="7" s="1"/>
  <c r="AP24" i="7" s="1"/>
  <c r="AX24" i="7" s="1"/>
  <c r="AA24" i="7"/>
  <c r="AI24" i="7" s="1"/>
  <c r="AQ24" i="7" s="1"/>
  <c r="AY24" i="7" s="1"/>
  <c r="AB24" i="7"/>
  <c r="AJ24" i="7" s="1"/>
  <c r="AR24" i="7" s="1"/>
  <c r="AZ24" i="7" s="1"/>
  <c r="X25" i="7"/>
  <c r="AF25" i="7" s="1"/>
  <c r="AN25" i="7" s="1"/>
  <c r="Y25" i="7"/>
  <c r="AG25" i="7" s="1"/>
  <c r="AO25" i="7" s="1"/>
  <c r="AW25" i="7" s="1"/>
  <c r="AA25" i="7"/>
  <c r="AI25" i="7" s="1"/>
  <c r="AQ25" i="7" s="1"/>
  <c r="AY25" i="7" s="1"/>
  <c r="AB25" i="7"/>
  <c r="AJ25" i="7" s="1"/>
  <c r="AR25" i="7" s="1"/>
  <c r="AZ25" i="7" s="1"/>
  <c r="X26" i="7"/>
  <c r="AF26" i="7" s="1"/>
  <c r="AN26" i="7" s="1"/>
  <c r="Y26" i="7"/>
  <c r="AG26" i="7" s="1"/>
  <c r="AO26" i="7" s="1"/>
  <c r="AW26" i="7" s="1"/>
  <c r="Z26" i="7"/>
  <c r="AH26" i="7" s="1"/>
  <c r="AP26" i="7" s="1"/>
  <c r="AX26" i="7" s="1"/>
  <c r="AA26" i="7"/>
  <c r="AI26" i="7" s="1"/>
  <c r="AQ26" i="7" s="1"/>
  <c r="AY26" i="7" s="1"/>
  <c r="AB26" i="7"/>
  <c r="AJ26" i="7" s="1"/>
  <c r="AR26" i="7" s="1"/>
  <c r="AZ26" i="7" s="1"/>
  <c r="X27" i="7"/>
  <c r="AF27" i="7" s="1"/>
  <c r="AN27" i="7" s="1"/>
  <c r="Y27" i="7"/>
  <c r="AG27" i="7" s="1"/>
  <c r="AO27" i="7" s="1"/>
  <c r="AW27" i="7" s="1"/>
  <c r="Z27" i="7"/>
  <c r="AH27" i="7" s="1"/>
  <c r="AP27" i="7" s="1"/>
  <c r="AX27" i="7" s="1"/>
  <c r="AA27" i="7"/>
  <c r="AI27" i="7" s="1"/>
  <c r="AQ27" i="7" s="1"/>
  <c r="AY27" i="7" s="1"/>
  <c r="AB27" i="7"/>
  <c r="AJ27" i="7" s="1"/>
  <c r="AR27" i="7" s="1"/>
  <c r="AZ27" i="7" s="1"/>
  <c r="Y28" i="7"/>
  <c r="AG28" i="7" s="1"/>
  <c r="AO28" i="7" s="1"/>
  <c r="AW28" i="7" s="1"/>
  <c r="Z28" i="7"/>
  <c r="AH28" i="7" s="1"/>
  <c r="AP28" i="7" s="1"/>
  <c r="AX28" i="7" s="1"/>
  <c r="AA28" i="7"/>
  <c r="AI28" i="7" s="1"/>
  <c r="AQ28" i="7" s="1"/>
  <c r="AY28" i="7" s="1"/>
  <c r="AB28" i="7"/>
  <c r="AJ28" i="7" s="1"/>
  <c r="AR28" i="7" s="1"/>
  <c r="AZ28" i="7" s="1"/>
  <c r="X29" i="7"/>
  <c r="AF29" i="7" s="1"/>
  <c r="AN29" i="7" s="1"/>
  <c r="Y29" i="7"/>
  <c r="AG29" i="7" s="1"/>
  <c r="AO29" i="7" s="1"/>
  <c r="AW29" i="7" s="1"/>
  <c r="AA29" i="7"/>
  <c r="AI29" i="7" s="1"/>
  <c r="AQ29" i="7" s="1"/>
  <c r="AY29" i="7" s="1"/>
  <c r="AB29" i="7"/>
  <c r="AJ29" i="7" s="1"/>
  <c r="AR29" i="7" s="1"/>
  <c r="AZ29" i="7" s="1"/>
  <c r="X30" i="7"/>
  <c r="AF30" i="7" s="1"/>
  <c r="AN30" i="7" s="1"/>
  <c r="Y30" i="7"/>
  <c r="AG30" i="7" s="1"/>
  <c r="AO30" i="7" s="1"/>
  <c r="AW30" i="7" s="1"/>
  <c r="Z30" i="7"/>
  <c r="AH30" i="7" s="1"/>
  <c r="AP30" i="7" s="1"/>
  <c r="AX30" i="7" s="1"/>
  <c r="AA30" i="7"/>
  <c r="AI30" i="7" s="1"/>
  <c r="AQ30" i="7" s="1"/>
  <c r="AY30" i="7" s="1"/>
  <c r="X31" i="7"/>
  <c r="AF31" i="7" s="1"/>
  <c r="AN31" i="7" s="1"/>
  <c r="Y31" i="7"/>
  <c r="AG31" i="7" s="1"/>
  <c r="AO31" i="7" s="1"/>
  <c r="AW31" i="7" s="1"/>
  <c r="Z31" i="7"/>
  <c r="AH31" i="7" s="1"/>
  <c r="AP31" i="7" s="1"/>
  <c r="AX31" i="7" s="1"/>
  <c r="AA31" i="7"/>
  <c r="AI31" i="7" s="1"/>
  <c r="AQ31" i="7" s="1"/>
  <c r="AY31" i="7" s="1"/>
  <c r="AB31" i="7"/>
  <c r="AJ31" i="7" s="1"/>
  <c r="AR31" i="7" s="1"/>
  <c r="AZ31" i="7" s="1"/>
  <c r="Y32" i="7"/>
  <c r="AG32" i="7" s="1"/>
  <c r="AO32" i="7" s="1"/>
  <c r="AW32" i="7" s="1"/>
  <c r="Z32" i="7"/>
  <c r="AH32" i="7" s="1"/>
  <c r="AP32" i="7" s="1"/>
  <c r="AX32" i="7" s="1"/>
  <c r="AA32" i="7"/>
  <c r="AI32" i="7" s="1"/>
  <c r="AQ32" i="7" s="1"/>
  <c r="AY32" i="7" s="1"/>
  <c r="AB32" i="7"/>
  <c r="AJ32" i="7" s="1"/>
  <c r="AR32" i="7" s="1"/>
  <c r="AZ32" i="7" s="1"/>
  <c r="X33" i="7"/>
  <c r="AF33" i="7" s="1"/>
  <c r="AN33" i="7" s="1"/>
  <c r="Y33" i="7"/>
  <c r="AG33" i="7" s="1"/>
  <c r="AO33" i="7" s="1"/>
  <c r="AW33" i="7" s="1"/>
  <c r="AA33" i="7"/>
  <c r="AI33" i="7" s="1"/>
  <c r="AQ33" i="7" s="1"/>
  <c r="AY33" i="7" s="1"/>
  <c r="AB33" i="7"/>
  <c r="AJ33" i="7" s="1"/>
  <c r="AR33" i="7" s="1"/>
  <c r="AZ33" i="7" s="1"/>
  <c r="X34" i="7"/>
  <c r="AF34" i="7" s="1"/>
  <c r="AN34" i="7" s="1"/>
  <c r="Y34" i="7"/>
  <c r="AG34" i="7" s="1"/>
  <c r="AO34" i="7" s="1"/>
  <c r="AW34" i="7" s="1"/>
  <c r="Z34" i="7"/>
  <c r="AH34" i="7" s="1"/>
  <c r="AP34" i="7" s="1"/>
  <c r="AX34" i="7" s="1"/>
  <c r="AA34" i="7"/>
  <c r="AI34" i="7" s="1"/>
  <c r="AQ34" i="7" s="1"/>
  <c r="AY34" i="7" s="1"/>
  <c r="AB34" i="7"/>
  <c r="AJ34" i="7" s="1"/>
  <c r="AR34" i="7" s="1"/>
  <c r="AZ34" i="7" s="1"/>
  <c r="X35" i="7"/>
  <c r="AF35" i="7" s="1"/>
  <c r="AN35" i="7" s="1"/>
  <c r="Y35" i="7"/>
  <c r="AG35" i="7" s="1"/>
  <c r="AO35" i="7" s="1"/>
  <c r="AW35" i="7" s="1"/>
  <c r="Z35" i="7"/>
  <c r="AH35" i="7" s="1"/>
  <c r="AP35" i="7" s="1"/>
  <c r="AX35" i="7" s="1"/>
  <c r="AA35" i="7"/>
  <c r="AI35" i="7" s="1"/>
  <c r="AQ35" i="7" s="1"/>
  <c r="AY35" i="7" s="1"/>
  <c r="AB35" i="7"/>
  <c r="AJ35" i="7" s="1"/>
  <c r="AR35" i="7" s="1"/>
  <c r="AZ35" i="7" s="1"/>
  <c r="Y36" i="7"/>
  <c r="AG36" i="7" s="1"/>
  <c r="AO36" i="7" s="1"/>
  <c r="AW36" i="7" s="1"/>
  <c r="Z36" i="7"/>
  <c r="AH36" i="7" s="1"/>
  <c r="AP36" i="7" s="1"/>
  <c r="AX36" i="7" s="1"/>
  <c r="AA36" i="7"/>
  <c r="AI36" i="7" s="1"/>
  <c r="AQ36" i="7" s="1"/>
  <c r="AY36" i="7" s="1"/>
  <c r="AB36" i="7"/>
  <c r="AJ36" i="7" s="1"/>
  <c r="AR36" i="7" s="1"/>
  <c r="AZ36" i="7" s="1"/>
  <c r="X37" i="7"/>
  <c r="AF37" i="7" s="1"/>
  <c r="AN37" i="7" s="1"/>
  <c r="Y37" i="7"/>
  <c r="AG37" i="7" s="1"/>
  <c r="AO37" i="7" s="1"/>
  <c r="AW37" i="7" s="1"/>
  <c r="AA37" i="7"/>
  <c r="AI37" i="7" s="1"/>
  <c r="AQ37" i="7" s="1"/>
  <c r="AY37" i="7" s="1"/>
  <c r="AB37" i="7"/>
  <c r="AJ37" i="7" s="1"/>
  <c r="AR37" i="7" s="1"/>
  <c r="AZ37" i="7" s="1"/>
  <c r="X38" i="7"/>
  <c r="AF38" i="7" s="1"/>
  <c r="AN38" i="7" s="1"/>
  <c r="Y38" i="7"/>
  <c r="AG38" i="7" s="1"/>
  <c r="AO38" i="7" s="1"/>
  <c r="AW38" i="7" s="1"/>
  <c r="Z38" i="7"/>
  <c r="AH38" i="7" s="1"/>
  <c r="AP38" i="7" s="1"/>
  <c r="AX38" i="7" s="1"/>
  <c r="AA38" i="7"/>
  <c r="AI38" i="7" s="1"/>
  <c r="AQ38" i="7" s="1"/>
  <c r="AY38" i="7" s="1"/>
  <c r="X39" i="7"/>
  <c r="AF39" i="7" s="1"/>
  <c r="AN39" i="7" s="1"/>
  <c r="Y39" i="7"/>
  <c r="AG39" i="7" s="1"/>
  <c r="AO39" i="7" s="1"/>
  <c r="AW39" i="7" s="1"/>
  <c r="Z39" i="7"/>
  <c r="AH39" i="7" s="1"/>
  <c r="AP39" i="7" s="1"/>
  <c r="AX39" i="7" s="1"/>
  <c r="AA39" i="7"/>
  <c r="AI39" i="7" s="1"/>
  <c r="AQ39" i="7" s="1"/>
  <c r="AY39" i="7" s="1"/>
  <c r="AB39" i="7"/>
  <c r="AJ39" i="7" s="1"/>
  <c r="AR39" i="7" s="1"/>
  <c r="AZ39" i="7" s="1"/>
  <c r="Y40" i="7"/>
  <c r="AG40" i="7" s="1"/>
  <c r="AO40" i="7" s="1"/>
  <c r="AW40" i="7" s="1"/>
  <c r="Z40" i="7"/>
  <c r="AH40" i="7" s="1"/>
  <c r="AP40" i="7" s="1"/>
  <c r="AX40" i="7" s="1"/>
  <c r="AA40" i="7"/>
  <c r="AI40" i="7" s="1"/>
  <c r="AQ40" i="7" s="1"/>
  <c r="AY40" i="7" s="1"/>
  <c r="AB40" i="7"/>
  <c r="AJ40" i="7" s="1"/>
  <c r="AR40" i="7" s="1"/>
  <c r="AZ40" i="7" s="1"/>
  <c r="X41" i="7"/>
  <c r="AF41" i="7" s="1"/>
  <c r="AN41" i="7" s="1"/>
  <c r="Y41" i="7"/>
  <c r="AG41" i="7" s="1"/>
  <c r="AO41" i="7" s="1"/>
  <c r="AW41" i="7" s="1"/>
  <c r="AA41" i="7"/>
  <c r="AI41" i="7" s="1"/>
  <c r="AQ41" i="7" s="1"/>
  <c r="AY41" i="7" s="1"/>
  <c r="AB41" i="7"/>
  <c r="AJ41" i="7" s="1"/>
  <c r="AR41" i="7" s="1"/>
  <c r="AZ41" i="7" s="1"/>
  <c r="X42" i="7"/>
  <c r="AF42" i="7" s="1"/>
  <c r="AN42" i="7" s="1"/>
  <c r="Y42" i="7"/>
  <c r="AG42" i="7" s="1"/>
  <c r="AO42" i="7" s="1"/>
  <c r="AW42" i="7" s="1"/>
  <c r="Z42" i="7"/>
  <c r="AH42" i="7" s="1"/>
  <c r="AP42" i="7" s="1"/>
  <c r="AX42" i="7" s="1"/>
  <c r="AA42" i="7"/>
  <c r="AI42" i="7" s="1"/>
  <c r="AQ42" i="7" s="1"/>
  <c r="AY42" i="7" s="1"/>
  <c r="AB42" i="7"/>
  <c r="AJ42" i="7" s="1"/>
  <c r="AR42" i="7" s="1"/>
  <c r="AZ42" i="7" s="1"/>
  <c r="X43" i="7"/>
  <c r="AF43" i="7" s="1"/>
  <c r="AN43" i="7" s="1"/>
  <c r="Y43" i="7"/>
  <c r="AG43" i="7" s="1"/>
  <c r="AO43" i="7" s="1"/>
  <c r="AW43" i="7" s="1"/>
  <c r="Z43" i="7"/>
  <c r="AH43" i="7" s="1"/>
  <c r="AP43" i="7" s="1"/>
  <c r="AX43" i="7" s="1"/>
  <c r="AA43" i="7"/>
  <c r="AI43" i="7" s="1"/>
  <c r="AQ43" i="7" s="1"/>
  <c r="AY43" i="7" s="1"/>
  <c r="AB43" i="7"/>
  <c r="AJ43" i="7" s="1"/>
  <c r="AR43" i="7" s="1"/>
  <c r="AZ43" i="7" s="1"/>
  <c r="Y44" i="7"/>
  <c r="AG44" i="7" s="1"/>
  <c r="AO44" i="7" s="1"/>
  <c r="AW44" i="7" s="1"/>
  <c r="Z44" i="7"/>
  <c r="AH44" i="7" s="1"/>
  <c r="AP44" i="7" s="1"/>
  <c r="AX44" i="7" s="1"/>
  <c r="AA44" i="7"/>
  <c r="AI44" i="7" s="1"/>
  <c r="AQ44" i="7" s="1"/>
  <c r="AY44" i="7" s="1"/>
  <c r="AB44" i="7"/>
  <c r="AJ44" i="7" s="1"/>
  <c r="AR44" i="7" s="1"/>
  <c r="AZ44" i="7" s="1"/>
  <c r="X45" i="7"/>
  <c r="AF45" i="7" s="1"/>
  <c r="AN45" i="7" s="1"/>
  <c r="Y45" i="7"/>
  <c r="AG45" i="7" s="1"/>
  <c r="AO45" i="7" s="1"/>
  <c r="AW45" i="7" s="1"/>
  <c r="AA45" i="7"/>
  <c r="AI45" i="7" s="1"/>
  <c r="AQ45" i="7" s="1"/>
  <c r="AY45" i="7" s="1"/>
  <c r="AB45" i="7"/>
  <c r="AJ45" i="7" s="1"/>
  <c r="AR45" i="7" s="1"/>
  <c r="AZ45" i="7" s="1"/>
  <c r="X46" i="7"/>
  <c r="AF46" i="7" s="1"/>
  <c r="AN46" i="7" s="1"/>
  <c r="Y46" i="7"/>
  <c r="AG46" i="7" s="1"/>
  <c r="AO46" i="7" s="1"/>
  <c r="AW46" i="7" s="1"/>
  <c r="Z46" i="7"/>
  <c r="AH46" i="7" s="1"/>
  <c r="AP46" i="7" s="1"/>
  <c r="AX46" i="7" s="1"/>
  <c r="AA46" i="7"/>
  <c r="AI46" i="7" s="1"/>
  <c r="AQ46" i="7" s="1"/>
  <c r="AY46" i="7" s="1"/>
  <c r="X47" i="7"/>
  <c r="AF47" i="7" s="1"/>
  <c r="AN47" i="7" s="1"/>
  <c r="Y47" i="7"/>
  <c r="AG47" i="7" s="1"/>
  <c r="AO47" i="7" s="1"/>
  <c r="AW47" i="7" s="1"/>
  <c r="Z47" i="7"/>
  <c r="AH47" i="7" s="1"/>
  <c r="AP47" i="7" s="1"/>
  <c r="AX47" i="7" s="1"/>
  <c r="AA47" i="7"/>
  <c r="AI47" i="7" s="1"/>
  <c r="AQ47" i="7" s="1"/>
  <c r="AY47" i="7" s="1"/>
  <c r="AB47" i="7"/>
  <c r="AJ47" i="7" s="1"/>
  <c r="AR47" i="7" s="1"/>
  <c r="AZ47" i="7" s="1"/>
  <c r="Y48" i="7"/>
  <c r="AG48" i="7" s="1"/>
  <c r="AO48" i="7" s="1"/>
  <c r="AW48" i="7" s="1"/>
  <c r="Z48" i="7"/>
  <c r="AH48" i="7" s="1"/>
  <c r="AP48" i="7" s="1"/>
  <c r="AX48" i="7" s="1"/>
  <c r="AA48" i="7"/>
  <c r="AI48" i="7" s="1"/>
  <c r="AQ48" i="7" s="1"/>
  <c r="AY48" i="7" s="1"/>
  <c r="AB48" i="7"/>
  <c r="AJ48" i="7" s="1"/>
  <c r="AR48" i="7" s="1"/>
  <c r="AZ48" i="7" s="1"/>
  <c r="X49" i="7"/>
  <c r="AF49" i="7" s="1"/>
  <c r="AN49" i="7" s="1"/>
  <c r="Y49" i="7"/>
  <c r="AG49" i="7" s="1"/>
  <c r="AO49" i="7" s="1"/>
  <c r="AW49" i="7" s="1"/>
  <c r="AA49" i="7"/>
  <c r="AI49" i="7" s="1"/>
  <c r="AQ49" i="7" s="1"/>
  <c r="AY49" i="7" s="1"/>
  <c r="AB49" i="7"/>
  <c r="AJ49" i="7" s="1"/>
  <c r="AR49" i="7" s="1"/>
  <c r="AZ49" i="7" s="1"/>
  <c r="X50" i="7"/>
  <c r="AF50" i="7" s="1"/>
  <c r="AN50" i="7" s="1"/>
  <c r="Y50" i="7"/>
  <c r="AG50" i="7" s="1"/>
  <c r="AO50" i="7" s="1"/>
  <c r="AW50" i="7" s="1"/>
  <c r="Z50" i="7"/>
  <c r="AH50" i="7" s="1"/>
  <c r="AP50" i="7" s="1"/>
  <c r="AX50" i="7" s="1"/>
  <c r="AA50" i="7"/>
  <c r="AI50" i="7" s="1"/>
  <c r="AQ50" i="7" s="1"/>
  <c r="AY50" i="7" s="1"/>
  <c r="AB50" i="7"/>
  <c r="AJ50" i="7" s="1"/>
  <c r="AR50" i="7" s="1"/>
  <c r="AZ50" i="7" s="1"/>
  <c r="X51" i="7"/>
  <c r="AF51" i="7" s="1"/>
  <c r="AN51" i="7" s="1"/>
  <c r="Y51" i="7"/>
  <c r="AG51" i="7" s="1"/>
  <c r="AO51" i="7" s="1"/>
  <c r="AW51" i="7" s="1"/>
  <c r="Z51" i="7"/>
  <c r="AH51" i="7" s="1"/>
  <c r="AP51" i="7" s="1"/>
  <c r="AX51" i="7" s="1"/>
  <c r="AA51" i="7"/>
  <c r="AI51" i="7" s="1"/>
  <c r="AQ51" i="7" s="1"/>
  <c r="AY51" i="7" s="1"/>
  <c r="AB51" i="7"/>
  <c r="AJ51" i="7" s="1"/>
  <c r="AR51" i="7" s="1"/>
  <c r="AZ51" i="7" s="1"/>
  <c r="Y52" i="7"/>
  <c r="AG52" i="7" s="1"/>
  <c r="AO52" i="7" s="1"/>
  <c r="AW52" i="7" s="1"/>
  <c r="Z52" i="7"/>
  <c r="AH52" i="7" s="1"/>
  <c r="AP52" i="7" s="1"/>
  <c r="AX52" i="7" s="1"/>
  <c r="AA52" i="7"/>
  <c r="AI52" i="7" s="1"/>
  <c r="AQ52" i="7" s="1"/>
  <c r="AY52" i="7" s="1"/>
  <c r="AB52" i="7"/>
  <c r="AJ52" i="7" s="1"/>
  <c r="AR52" i="7" s="1"/>
  <c r="AZ52" i="7" s="1"/>
  <c r="X53" i="7"/>
  <c r="AF53" i="7" s="1"/>
  <c r="AN53" i="7" s="1"/>
  <c r="Y53" i="7"/>
  <c r="AG53" i="7" s="1"/>
  <c r="AO53" i="7" s="1"/>
  <c r="AW53" i="7" s="1"/>
  <c r="AA53" i="7"/>
  <c r="AI53" i="7" s="1"/>
  <c r="AQ53" i="7" s="1"/>
  <c r="AY53" i="7" s="1"/>
  <c r="AB53" i="7"/>
  <c r="AJ53" i="7" s="1"/>
  <c r="AR53" i="7" s="1"/>
  <c r="AZ53" i="7" s="1"/>
  <c r="X54" i="7"/>
  <c r="AF54" i="7" s="1"/>
  <c r="AN54" i="7" s="1"/>
  <c r="Y54" i="7"/>
  <c r="AG54" i="7" s="1"/>
  <c r="AO54" i="7" s="1"/>
  <c r="AW54" i="7" s="1"/>
  <c r="Z54" i="7"/>
  <c r="AH54" i="7" s="1"/>
  <c r="AP54" i="7" s="1"/>
  <c r="AX54" i="7" s="1"/>
  <c r="AA54" i="7"/>
  <c r="AI54" i="7" s="1"/>
  <c r="AQ54" i="7" s="1"/>
  <c r="AY54" i="7" s="1"/>
  <c r="X55" i="7"/>
  <c r="AF55" i="7" s="1"/>
  <c r="AN55" i="7" s="1"/>
  <c r="Y55" i="7"/>
  <c r="AG55" i="7" s="1"/>
  <c r="AO55" i="7" s="1"/>
  <c r="AW55" i="7" s="1"/>
  <c r="Z55" i="7"/>
  <c r="AH55" i="7" s="1"/>
  <c r="AP55" i="7" s="1"/>
  <c r="AX55" i="7" s="1"/>
  <c r="AA55" i="7"/>
  <c r="AI55" i="7" s="1"/>
  <c r="AQ55" i="7" s="1"/>
  <c r="AY55" i="7" s="1"/>
  <c r="AB55" i="7"/>
  <c r="AJ55" i="7" s="1"/>
  <c r="AR55" i="7" s="1"/>
  <c r="AZ55" i="7" s="1"/>
  <c r="Y56" i="7"/>
  <c r="AG56" i="7" s="1"/>
  <c r="AO56" i="7" s="1"/>
  <c r="AW56" i="7" s="1"/>
  <c r="Z56" i="7"/>
  <c r="AH56" i="7" s="1"/>
  <c r="AP56" i="7" s="1"/>
  <c r="AX56" i="7" s="1"/>
  <c r="AA56" i="7"/>
  <c r="AI56" i="7" s="1"/>
  <c r="AQ56" i="7" s="1"/>
  <c r="AY56" i="7" s="1"/>
  <c r="AB56" i="7"/>
  <c r="AJ56" i="7" s="1"/>
  <c r="AR56" i="7" s="1"/>
  <c r="AZ56" i="7" s="1"/>
  <c r="X57" i="7"/>
  <c r="AF57" i="7" s="1"/>
  <c r="AN57" i="7" s="1"/>
  <c r="Y57" i="7"/>
  <c r="AG57" i="7" s="1"/>
  <c r="AO57" i="7" s="1"/>
  <c r="AW57" i="7" s="1"/>
  <c r="AA57" i="7"/>
  <c r="AI57" i="7" s="1"/>
  <c r="AQ57" i="7" s="1"/>
  <c r="AY57" i="7" s="1"/>
  <c r="AB57" i="7"/>
  <c r="AJ57" i="7" s="1"/>
  <c r="AR57" i="7" s="1"/>
  <c r="AZ57" i="7" s="1"/>
  <c r="X58" i="7"/>
  <c r="AF58" i="7" s="1"/>
  <c r="AN58" i="7" s="1"/>
  <c r="Y58" i="7"/>
  <c r="AG58" i="7" s="1"/>
  <c r="AO58" i="7" s="1"/>
  <c r="AW58" i="7" s="1"/>
  <c r="Z58" i="7"/>
  <c r="AH58" i="7" s="1"/>
  <c r="AP58" i="7" s="1"/>
  <c r="AX58" i="7" s="1"/>
  <c r="AA58" i="7"/>
  <c r="AI58" i="7" s="1"/>
  <c r="AQ58" i="7" s="1"/>
  <c r="AY58" i="7" s="1"/>
  <c r="AB58" i="7"/>
  <c r="AJ58" i="7" s="1"/>
  <c r="AR58" i="7" s="1"/>
  <c r="AZ58" i="7" s="1"/>
  <c r="X59" i="7"/>
  <c r="AF59" i="7" s="1"/>
  <c r="AN59" i="7" s="1"/>
  <c r="Y59" i="7"/>
  <c r="AG59" i="7" s="1"/>
  <c r="AO59" i="7" s="1"/>
  <c r="AW59" i="7" s="1"/>
  <c r="Z59" i="7"/>
  <c r="AH59" i="7" s="1"/>
  <c r="AP59" i="7" s="1"/>
  <c r="AX59" i="7" s="1"/>
  <c r="AA59" i="7"/>
  <c r="AI59" i="7" s="1"/>
  <c r="AQ59" i="7" s="1"/>
  <c r="AY59" i="7" s="1"/>
  <c r="AB59" i="7"/>
  <c r="AJ59" i="7" s="1"/>
  <c r="AR59" i="7" s="1"/>
  <c r="AZ59" i="7" s="1"/>
  <c r="Y60" i="7"/>
  <c r="AG60" i="7" s="1"/>
  <c r="AO60" i="7" s="1"/>
  <c r="AW60" i="7" s="1"/>
  <c r="Z60" i="7"/>
  <c r="AH60" i="7" s="1"/>
  <c r="AP60" i="7" s="1"/>
  <c r="AX60" i="7" s="1"/>
  <c r="AA60" i="7"/>
  <c r="AI60" i="7" s="1"/>
  <c r="AQ60" i="7" s="1"/>
  <c r="AY60" i="7" s="1"/>
  <c r="AB60" i="7"/>
  <c r="AJ60" i="7" s="1"/>
  <c r="AR60" i="7" s="1"/>
  <c r="AZ60" i="7" s="1"/>
  <c r="X61" i="7"/>
  <c r="AF61" i="7" s="1"/>
  <c r="AN61" i="7" s="1"/>
  <c r="Y61" i="7"/>
  <c r="AG61" i="7" s="1"/>
  <c r="AO61" i="7" s="1"/>
  <c r="AW61" i="7" s="1"/>
  <c r="AA61" i="7"/>
  <c r="AI61" i="7" s="1"/>
  <c r="AQ61" i="7" s="1"/>
  <c r="AY61" i="7" s="1"/>
  <c r="AB61" i="7"/>
  <c r="AJ61" i="7" s="1"/>
  <c r="AR61" i="7" s="1"/>
  <c r="AZ61" i="7" s="1"/>
  <c r="X62" i="7"/>
  <c r="AF62" i="7" s="1"/>
  <c r="AN62" i="7" s="1"/>
  <c r="Y62" i="7"/>
  <c r="AG62" i="7" s="1"/>
  <c r="AO62" i="7" s="1"/>
  <c r="AW62" i="7" s="1"/>
  <c r="Z62" i="7"/>
  <c r="AH62" i="7" s="1"/>
  <c r="AP62" i="7" s="1"/>
  <c r="AX62" i="7" s="1"/>
  <c r="AA62" i="7"/>
  <c r="AI62" i="7" s="1"/>
  <c r="AQ62" i="7" s="1"/>
  <c r="AY62" i="7" s="1"/>
  <c r="AB62" i="7"/>
  <c r="AJ62" i="7" s="1"/>
  <c r="AR62" i="7" s="1"/>
  <c r="AZ62" i="7" s="1"/>
  <c r="X63" i="7"/>
  <c r="AF63" i="7" s="1"/>
  <c r="AN63" i="7" s="1"/>
  <c r="Y63" i="7"/>
  <c r="AG63" i="7" s="1"/>
  <c r="AO63" i="7" s="1"/>
  <c r="AW63" i="7" s="1"/>
  <c r="Z63" i="7"/>
  <c r="AH63" i="7" s="1"/>
  <c r="AP63" i="7" s="1"/>
  <c r="AX63" i="7" s="1"/>
  <c r="AA63" i="7"/>
  <c r="AI63" i="7" s="1"/>
  <c r="AQ63" i="7" s="1"/>
  <c r="AY63" i="7" s="1"/>
  <c r="AB63" i="7"/>
  <c r="AJ63" i="7" s="1"/>
  <c r="AR63" i="7" s="1"/>
  <c r="AZ63" i="7" s="1"/>
  <c r="W6" i="7"/>
  <c r="AE6" i="7" s="1"/>
  <c r="AM6" i="7" s="1"/>
  <c r="AU6" i="7" s="1"/>
  <c r="W7" i="7"/>
  <c r="AE7" i="7" s="1"/>
  <c r="AM7" i="7" s="1"/>
  <c r="AU7" i="7" s="1"/>
  <c r="W8" i="7"/>
  <c r="AE8" i="7" s="1"/>
  <c r="AM8" i="7" s="1"/>
  <c r="AU8" i="7" s="1"/>
  <c r="W9" i="7"/>
  <c r="AE9" i="7" s="1"/>
  <c r="AM9" i="7" s="1"/>
  <c r="AU9" i="7" s="1"/>
  <c r="W10" i="7"/>
  <c r="AE10" i="7" s="1"/>
  <c r="AM10" i="7" s="1"/>
  <c r="AU10" i="7" s="1"/>
  <c r="W11" i="7"/>
  <c r="AE11" i="7" s="1"/>
  <c r="AM11" i="7" s="1"/>
  <c r="AU11" i="7" s="1"/>
  <c r="W12" i="7"/>
  <c r="AE12" i="7" s="1"/>
  <c r="AM12" i="7" s="1"/>
  <c r="AU12" i="7" s="1"/>
  <c r="W13" i="7"/>
  <c r="AE13" i="7" s="1"/>
  <c r="AM13" i="7" s="1"/>
  <c r="AU13" i="7" s="1"/>
  <c r="W14" i="7"/>
  <c r="AE14" i="7" s="1"/>
  <c r="AM14" i="7" s="1"/>
  <c r="AU14" i="7" s="1"/>
  <c r="W15" i="7"/>
  <c r="AE15" i="7" s="1"/>
  <c r="AM15" i="7" s="1"/>
  <c r="AU15" i="7" s="1"/>
  <c r="W16" i="7"/>
  <c r="AE16" i="7" s="1"/>
  <c r="AM16" i="7" s="1"/>
  <c r="AU16" i="7" s="1"/>
  <c r="W17" i="7"/>
  <c r="AE17" i="7" s="1"/>
  <c r="AM17" i="7" s="1"/>
  <c r="AU17" i="7" s="1"/>
  <c r="W18" i="7"/>
  <c r="AE18" i="7" s="1"/>
  <c r="AM18" i="7" s="1"/>
  <c r="AU18" i="7" s="1"/>
  <c r="W19" i="7"/>
  <c r="AE19" i="7" s="1"/>
  <c r="AM19" i="7" s="1"/>
  <c r="AU19" i="7" s="1"/>
  <c r="W21" i="7"/>
  <c r="AE21" i="7" s="1"/>
  <c r="AM21" i="7" s="1"/>
  <c r="AU21" i="7" s="1"/>
  <c r="W22" i="7"/>
  <c r="AE22" i="7" s="1"/>
  <c r="AM22" i="7" s="1"/>
  <c r="AU22" i="7" s="1"/>
  <c r="W23" i="7"/>
  <c r="AE23" i="7" s="1"/>
  <c r="AM23" i="7" s="1"/>
  <c r="AU23" i="7" s="1"/>
  <c r="W24" i="7"/>
  <c r="AE24" i="7" s="1"/>
  <c r="AM24" i="7" s="1"/>
  <c r="AU24" i="7" s="1"/>
  <c r="W25" i="7"/>
  <c r="AE25" i="7" s="1"/>
  <c r="AM25" i="7" s="1"/>
  <c r="AU25" i="7" s="1"/>
  <c r="W26" i="7"/>
  <c r="AE26" i="7" s="1"/>
  <c r="AM26" i="7" s="1"/>
  <c r="AU26" i="7" s="1"/>
  <c r="W27" i="7"/>
  <c r="AE27" i="7" s="1"/>
  <c r="AM27" i="7" s="1"/>
  <c r="AU27" i="7" s="1"/>
  <c r="W28" i="7"/>
  <c r="AE28" i="7" s="1"/>
  <c r="AM28" i="7" s="1"/>
  <c r="AU28" i="7" s="1"/>
  <c r="W29" i="7"/>
  <c r="AE29" i="7" s="1"/>
  <c r="AM29" i="7" s="1"/>
  <c r="AU29" i="7" s="1"/>
  <c r="W30" i="7"/>
  <c r="AE30" i="7" s="1"/>
  <c r="AM30" i="7" s="1"/>
  <c r="AU30" i="7" s="1"/>
  <c r="W31" i="7"/>
  <c r="AE31" i="7" s="1"/>
  <c r="AM31" i="7" s="1"/>
  <c r="AU31" i="7" s="1"/>
  <c r="W32" i="7"/>
  <c r="AE32" i="7" s="1"/>
  <c r="AM32" i="7" s="1"/>
  <c r="AU32" i="7" s="1"/>
  <c r="W33" i="7"/>
  <c r="AE33" i="7" s="1"/>
  <c r="AM33" i="7" s="1"/>
  <c r="AU33" i="7" s="1"/>
  <c r="W34" i="7"/>
  <c r="AE34" i="7" s="1"/>
  <c r="AM34" i="7" s="1"/>
  <c r="AU34" i="7" s="1"/>
  <c r="W35" i="7"/>
  <c r="AE35" i="7" s="1"/>
  <c r="AM35" i="7" s="1"/>
  <c r="AU35" i="7" s="1"/>
  <c r="W36" i="7"/>
  <c r="AE36" i="7" s="1"/>
  <c r="AM36" i="7" s="1"/>
  <c r="AU36" i="7" s="1"/>
  <c r="W37" i="7"/>
  <c r="AE37" i="7" s="1"/>
  <c r="AM37" i="7" s="1"/>
  <c r="AU37" i="7" s="1"/>
  <c r="W38" i="7"/>
  <c r="AE38" i="7" s="1"/>
  <c r="AM38" i="7" s="1"/>
  <c r="AU38" i="7" s="1"/>
  <c r="W39" i="7"/>
  <c r="AE39" i="7" s="1"/>
  <c r="AM39" i="7" s="1"/>
  <c r="AU39" i="7" s="1"/>
  <c r="W40" i="7"/>
  <c r="AE40" i="7" s="1"/>
  <c r="AM40" i="7" s="1"/>
  <c r="AU40" i="7" s="1"/>
  <c r="W41" i="7"/>
  <c r="AE41" i="7" s="1"/>
  <c r="AM41" i="7" s="1"/>
  <c r="AU41" i="7" s="1"/>
  <c r="W42" i="7"/>
  <c r="AE42" i="7" s="1"/>
  <c r="AM42" i="7" s="1"/>
  <c r="AU42" i="7" s="1"/>
  <c r="W43" i="7"/>
  <c r="AE43" i="7" s="1"/>
  <c r="AM43" i="7" s="1"/>
  <c r="AU43" i="7" s="1"/>
  <c r="W44" i="7"/>
  <c r="AE44" i="7" s="1"/>
  <c r="AM44" i="7" s="1"/>
  <c r="AU44" i="7" s="1"/>
  <c r="W45" i="7"/>
  <c r="AE45" i="7" s="1"/>
  <c r="AM45" i="7" s="1"/>
  <c r="AU45" i="7" s="1"/>
  <c r="W46" i="7"/>
  <c r="AE46" i="7" s="1"/>
  <c r="AM46" i="7" s="1"/>
  <c r="AU46" i="7" s="1"/>
  <c r="W47" i="7"/>
  <c r="AE47" i="7" s="1"/>
  <c r="AM47" i="7" s="1"/>
  <c r="AU47" i="7" s="1"/>
  <c r="W48" i="7"/>
  <c r="AE48" i="7" s="1"/>
  <c r="AM48" i="7" s="1"/>
  <c r="AU48" i="7" s="1"/>
  <c r="W49" i="7"/>
  <c r="AE49" i="7" s="1"/>
  <c r="AM49" i="7" s="1"/>
  <c r="AU49" i="7" s="1"/>
  <c r="W50" i="7"/>
  <c r="AE50" i="7" s="1"/>
  <c r="AM50" i="7" s="1"/>
  <c r="AU50" i="7" s="1"/>
  <c r="W51" i="7"/>
  <c r="AE51" i="7" s="1"/>
  <c r="AM51" i="7" s="1"/>
  <c r="AU51" i="7" s="1"/>
  <c r="W52" i="7"/>
  <c r="AE52" i="7" s="1"/>
  <c r="AM52" i="7" s="1"/>
  <c r="AU52" i="7" s="1"/>
  <c r="W53" i="7"/>
  <c r="AE53" i="7" s="1"/>
  <c r="AM53" i="7" s="1"/>
  <c r="AU53" i="7" s="1"/>
  <c r="W54" i="7"/>
  <c r="AE54" i="7" s="1"/>
  <c r="AM54" i="7" s="1"/>
  <c r="AU54" i="7" s="1"/>
  <c r="W55" i="7"/>
  <c r="AE55" i="7" s="1"/>
  <c r="AM55" i="7" s="1"/>
  <c r="AU55" i="7" s="1"/>
  <c r="W56" i="7"/>
  <c r="AE56" i="7" s="1"/>
  <c r="AM56" i="7" s="1"/>
  <c r="AU56" i="7" s="1"/>
  <c r="W57" i="7"/>
  <c r="AE57" i="7" s="1"/>
  <c r="AM57" i="7" s="1"/>
  <c r="AU57" i="7" s="1"/>
  <c r="W58" i="7"/>
  <c r="AE58" i="7" s="1"/>
  <c r="AM58" i="7" s="1"/>
  <c r="AU58" i="7" s="1"/>
  <c r="W59" i="7"/>
  <c r="AE59" i="7" s="1"/>
  <c r="AM59" i="7" s="1"/>
  <c r="AU59" i="7" s="1"/>
  <c r="W60" i="7"/>
  <c r="AE60" i="7" s="1"/>
  <c r="AM60" i="7" s="1"/>
  <c r="AU60" i="7" s="1"/>
  <c r="W61" i="7"/>
  <c r="AE61" i="7" s="1"/>
  <c r="AM61" i="7" s="1"/>
  <c r="AU61" i="7" s="1"/>
  <c r="W62" i="7"/>
  <c r="AE62" i="7" s="1"/>
  <c r="AM62" i="7" s="1"/>
  <c r="AU62" i="7" s="1"/>
  <c r="W63" i="7"/>
  <c r="AE63" i="7" s="1"/>
  <c r="AM63" i="7" s="1"/>
  <c r="AU63" i="7" s="1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Z13" i="7" l="1"/>
  <c r="AH13" i="7" s="1"/>
  <c r="AP13" i="7" s="1"/>
  <c r="AX13" i="7" s="1"/>
  <c r="Z5" i="7"/>
  <c r="AH5" i="7" s="1"/>
  <c r="AP5" i="7" s="1"/>
  <c r="AX5" i="7" s="1"/>
  <c r="AB6" i="7"/>
  <c r="AJ6" i="7" s="1"/>
  <c r="AR6" i="7" s="1"/>
  <c r="AZ6" i="7" s="1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V35" i="7"/>
  <c r="AV36" i="7"/>
  <c r="AV37" i="7"/>
  <c r="AV38" i="7"/>
  <c r="AV39" i="7"/>
  <c r="AV40" i="7"/>
  <c r="AV41" i="7"/>
  <c r="AV42" i="7"/>
  <c r="AV43" i="7"/>
  <c r="AV44" i="7"/>
  <c r="AV45" i="7"/>
  <c r="AV46" i="7"/>
  <c r="AV47" i="7"/>
  <c r="AV48" i="7"/>
  <c r="AV49" i="7"/>
  <c r="AV50" i="7"/>
  <c r="AV51" i="7"/>
  <c r="AV52" i="7"/>
  <c r="AV53" i="7"/>
  <c r="AV54" i="7"/>
  <c r="AV55" i="7"/>
  <c r="AV56" i="7"/>
  <c r="AV57" i="7"/>
  <c r="AV58" i="7"/>
  <c r="AV59" i="7"/>
  <c r="AV60" i="7"/>
  <c r="AV61" i="7"/>
  <c r="AV62" i="7"/>
  <c r="AV63" i="7"/>
  <c r="AV4" i="7"/>
  <c r="E10" i="8" l="1"/>
  <c r="E19" i="8"/>
  <c r="E17" i="8"/>
  <c r="E9" i="8"/>
  <c r="E8" i="8"/>
  <c r="E27" i="8"/>
  <c r="E26" i="8"/>
  <c r="E16" i="8"/>
  <c r="E7" i="8"/>
  <c r="E31" i="8"/>
  <c r="E35" i="8"/>
  <c r="E18" i="8"/>
  <c r="E25" i="8"/>
  <c r="E15" i="8"/>
  <c r="E38" i="8"/>
  <c r="E30" i="8"/>
  <c r="E14" i="8"/>
  <c r="E6" i="8"/>
  <c r="E33" i="8"/>
  <c r="E24" i="8"/>
  <c r="E37" i="8"/>
  <c r="E29" i="8"/>
  <c r="E21" i="8"/>
  <c r="E13" i="8"/>
  <c r="E5" i="8"/>
  <c r="E22" i="8"/>
  <c r="E34" i="8"/>
  <c r="E32" i="8"/>
  <c r="E23" i="8"/>
  <c r="E11" i="8"/>
  <c r="E36" i="8"/>
  <c r="E28" i="8"/>
  <c r="E20" i="8"/>
  <c r="E12" i="8"/>
  <c r="E4" i="8"/>
</calcChain>
</file>

<file path=xl/sharedStrings.xml><?xml version="1.0" encoding="utf-8"?>
<sst xmlns="http://schemas.openxmlformats.org/spreadsheetml/2006/main" count="61" uniqueCount="19">
  <si>
    <t>Dist</t>
  </si>
  <si>
    <t>Num</t>
    <phoneticPr fontId="1" type="noConversion"/>
  </si>
  <si>
    <t>수신감도</t>
    <phoneticPr fontId="1" type="noConversion"/>
  </si>
  <si>
    <t>2-2,2-4지</t>
    <phoneticPr fontId="1" type="noConversion"/>
  </si>
  <si>
    <t>덕산</t>
    <phoneticPr fontId="1" type="noConversion"/>
  </si>
  <si>
    <t>인천 가좌</t>
    <phoneticPr fontId="1" type="noConversion"/>
  </si>
  <si>
    <t>인천 가좌</t>
    <phoneticPr fontId="1" type="noConversion"/>
  </si>
  <si>
    <t>TVG = 0</t>
    <phoneticPr fontId="1" type="noConversion"/>
  </si>
  <si>
    <t>TVG = 2</t>
    <phoneticPr fontId="1" type="noConversion"/>
  </si>
  <si>
    <t>TVG = 3</t>
    <phoneticPr fontId="1" type="noConversion"/>
  </si>
  <si>
    <t>TVG = 4</t>
    <phoneticPr fontId="1" type="noConversion"/>
  </si>
  <si>
    <t>TVG = 5</t>
    <phoneticPr fontId="1" type="noConversion"/>
  </si>
  <si>
    <t>ENV120</t>
    <phoneticPr fontId="1" type="noConversion"/>
  </si>
  <si>
    <t>ENV130</t>
    <phoneticPr fontId="1" type="noConversion"/>
  </si>
  <si>
    <t>TVG = 1</t>
  </si>
  <si>
    <t>거리</t>
    <phoneticPr fontId="1" type="noConversion"/>
  </si>
  <si>
    <t>VCA801 in</t>
    <phoneticPr fontId="4" type="noConversion"/>
  </si>
  <si>
    <t>증폭비</t>
    <phoneticPr fontId="4" type="noConversion"/>
  </si>
  <si>
    <t>10^(-2*(H269+1))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</si>
</sst>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 "/>
    <numFmt numFmtId="177" formatCode="mm&quot;월&quot;\ dd&quot;일&quot;"/>
    <numFmt numFmtId="178" formatCode="0.000"/>
    <numFmt numFmtId="179" formatCode="0.0000_);[Red]\(0.0000\)"/>
    <numFmt numFmtId="180" formatCode="0.00_);[Red]\(0.00\)"/>
    <numFmt numFmtId="181" formatCode="0.0000000_);[Red]\(0.0000000\)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0" xfId="0" applyNumberFormat="1">
      <alignment vertical="center"/>
    </xf>
    <xf numFmtId="0" fontId="2" fillId="4" borderId="1" xfId="0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" fontId="0" fillId="0" borderId="1" xfId="0" applyNumberFormat="1" applyBorder="1">
      <alignment vertical="center"/>
    </xf>
    <xf numFmtId="0" fontId="0" fillId="5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177" fontId="0" fillId="0" borderId="0" xfId="0" applyNumberFormat="1">
      <alignment vertical="center"/>
    </xf>
    <xf numFmtId="0" fontId="0" fillId="7" borderId="1" xfId="0" applyFill="1" applyBorder="1">
      <alignment vertical="center"/>
    </xf>
    <xf numFmtId="178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3" borderId="1" xfId="0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7" borderId="1" xfId="0" applyFill="1" applyBorder="1" applyAlignment="1">
      <alignment horizontal="center" vertical="center"/>
    </xf>
    <xf numFmtId="180" fontId="0" fillId="7" borderId="1" xfId="0" applyNumberFormat="1" applyFill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8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3"/>
  <sheetViews>
    <sheetView tabSelected="1" view="pageBreakPreview" zoomScaleNormal="85" zoomScaleSheetLayoutView="100" workbookViewId="0">
      <selection activeCell="Q20" sqref="Q20"/>
    </sheetView>
  </sheetViews>
  <sheetFormatPr defaultRowHeight="17" x14ac:dyDescent="0.45"/>
  <cols>
    <col min="1" max="9" width="10.58203125" customWidth="1"/>
    <col min="11" max="20" width="10.58203125" customWidth="1"/>
    <col min="31" max="35" width="13.83203125" bestFit="1" customWidth="1"/>
    <col min="47" max="51" width="13.83203125" bestFit="1" customWidth="1"/>
  </cols>
  <sheetData>
    <row r="1" spans="1:52" x14ac:dyDescent="0.45">
      <c r="B1" s="22"/>
      <c r="C1" s="22"/>
      <c r="D1" s="22"/>
      <c r="E1" s="22"/>
      <c r="F1" s="22"/>
      <c r="G1" s="22"/>
      <c r="S1" t="s">
        <v>3</v>
      </c>
    </row>
    <row r="2" spans="1:52" ht="16.5" customHeight="1" x14ac:dyDescent="0.45">
      <c r="B2" s="7"/>
      <c r="C2" s="7"/>
      <c r="D2" s="7"/>
      <c r="E2" s="7"/>
      <c r="F2" s="7"/>
      <c r="G2" s="7"/>
      <c r="H2" s="11"/>
      <c r="I2" s="11"/>
      <c r="K2" s="23" t="s">
        <v>2</v>
      </c>
      <c r="L2" s="23"/>
      <c r="M2" s="1">
        <v>45</v>
      </c>
      <c r="N2" s="1">
        <v>25</v>
      </c>
      <c r="O2" s="1">
        <v>30</v>
      </c>
      <c r="P2" s="1">
        <v>30</v>
      </c>
      <c r="Q2" s="1">
        <v>30</v>
      </c>
      <c r="R2" s="1">
        <v>45</v>
      </c>
      <c r="S2" s="1">
        <v>36</v>
      </c>
      <c r="T2" s="1">
        <v>38</v>
      </c>
    </row>
    <row r="3" spans="1:52" ht="17.5" x14ac:dyDescent="0.45">
      <c r="A3" s="3" t="s">
        <v>0</v>
      </c>
      <c r="B3" s="3" t="s">
        <v>7</v>
      </c>
      <c r="C3" s="3" t="s">
        <v>14</v>
      </c>
      <c r="D3" s="3" t="s">
        <v>8</v>
      </c>
      <c r="E3" s="3" t="s">
        <v>9</v>
      </c>
      <c r="F3" s="3" t="s">
        <v>10</v>
      </c>
      <c r="G3" s="9" t="s">
        <v>11</v>
      </c>
      <c r="H3" s="3" t="s">
        <v>5</v>
      </c>
      <c r="I3" s="9" t="s">
        <v>4</v>
      </c>
      <c r="K3" s="3" t="s">
        <v>1</v>
      </c>
      <c r="L3" s="3" t="s">
        <v>0</v>
      </c>
      <c r="M3" s="3" t="s">
        <v>7</v>
      </c>
      <c r="N3" s="3" t="s">
        <v>14</v>
      </c>
      <c r="O3" s="3" t="s">
        <v>8</v>
      </c>
      <c r="P3" s="3" t="s">
        <v>9</v>
      </c>
      <c r="Q3" s="3" t="s">
        <v>10</v>
      </c>
      <c r="R3" s="9" t="s">
        <v>11</v>
      </c>
      <c r="S3" s="3" t="s">
        <v>6</v>
      </c>
      <c r="T3" s="9" t="s">
        <v>4</v>
      </c>
      <c r="V3" s="3" t="s">
        <v>0</v>
      </c>
      <c r="W3" s="3" t="s">
        <v>7</v>
      </c>
      <c r="X3" s="3" t="s">
        <v>7</v>
      </c>
      <c r="Y3" s="3" t="s">
        <v>8</v>
      </c>
      <c r="Z3" s="3" t="s">
        <v>9</v>
      </c>
      <c r="AA3" s="3" t="s">
        <v>10</v>
      </c>
      <c r="AB3" s="9" t="s">
        <v>11</v>
      </c>
      <c r="AD3" s="3" t="s">
        <v>0</v>
      </c>
      <c r="AE3" s="3" t="s">
        <v>13</v>
      </c>
      <c r="AF3" s="3" t="s">
        <v>7</v>
      </c>
      <c r="AG3" s="3" t="s">
        <v>8</v>
      </c>
      <c r="AH3" s="3" t="s">
        <v>9</v>
      </c>
      <c r="AI3" s="3" t="s">
        <v>10</v>
      </c>
      <c r="AJ3" s="9" t="s">
        <v>11</v>
      </c>
      <c r="AL3" s="3" t="s">
        <v>0</v>
      </c>
      <c r="AM3" s="3" t="s">
        <v>7</v>
      </c>
      <c r="AN3" s="3" t="s">
        <v>14</v>
      </c>
      <c r="AO3" s="3" t="s">
        <v>8</v>
      </c>
      <c r="AP3" s="3" t="s">
        <v>9</v>
      </c>
      <c r="AQ3" s="3" t="s">
        <v>10</v>
      </c>
      <c r="AR3" s="9" t="s">
        <v>11</v>
      </c>
      <c r="AT3" s="3" t="s">
        <v>0</v>
      </c>
      <c r="AU3" s="3" t="s">
        <v>7</v>
      </c>
      <c r="AV3" s="3" t="s">
        <v>7</v>
      </c>
      <c r="AW3" s="3" t="s">
        <v>8</v>
      </c>
      <c r="AX3" s="3" t="s">
        <v>9</v>
      </c>
      <c r="AY3" s="3" t="s">
        <v>10</v>
      </c>
      <c r="AZ3" s="9" t="s">
        <v>11</v>
      </c>
    </row>
    <row r="4" spans="1:52" x14ac:dyDescent="0.45">
      <c r="A4" s="6">
        <v>0</v>
      </c>
      <c r="B4" s="12">
        <v>1</v>
      </c>
      <c r="C4" s="12">
        <v>1</v>
      </c>
      <c r="D4" s="12">
        <v>1</v>
      </c>
      <c r="E4" s="12">
        <v>1</v>
      </c>
      <c r="F4" s="12">
        <v>1</v>
      </c>
      <c r="G4" s="12">
        <v>1</v>
      </c>
      <c r="H4" s="4">
        <v>1</v>
      </c>
      <c r="I4" s="4">
        <v>1</v>
      </c>
      <c r="K4" s="6">
        <v>1</v>
      </c>
      <c r="L4" s="6">
        <v>0</v>
      </c>
      <c r="M4" s="1">
        <f>IF((B4*M$2)&gt;1454, 1454,(B4*M$2))</f>
        <v>45</v>
      </c>
      <c r="N4" s="1">
        <f>IF((C4*N$2)&gt;1454, 1454,(C4*N$2))</f>
        <v>25</v>
      </c>
      <c r="O4" s="1">
        <f>IF((D4*O$2)&gt;1454, 1454,(D4*O$2))</f>
        <v>30</v>
      </c>
      <c r="P4" s="1">
        <f t="shared" ref="P4:S4" si="0">IF((E4*P$2)&gt;1454, 1454,(E4*P$2))</f>
        <v>30</v>
      </c>
      <c r="Q4" s="1">
        <f t="shared" si="0"/>
        <v>30</v>
      </c>
      <c r="R4" s="1">
        <f t="shared" si="0"/>
        <v>45</v>
      </c>
      <c r="S4" s="1">
        <f t="shared" si="0"/>
        <v>36</v>
      </c>
      <c r="T4" s="1">
        <f t="shared" ref="T4:T35" si="1">IF((I4*T$2)&gt;2000, 2000,(I4*T$2))</f>
        <v>38</v>
      </c>
      <c r="U4" s="2"/>
      <c r="V4" s="6">
        <v>0</v>
      </c>
      <c r="W4">
        <f>(B4*2.4)/4096</f>
        <v>5.8593749999999998E-4</v>
      </c>
      <c r="X4">
        <f t="shared" ref="X4:AB19" si="2">(C4*2.4)/4096</f>
        <v>5.8593749999999998E-4</v>
      </c>
      <c r="Y4">
        <f t="shared" si="2"/>
        <v>5.8593749999999998E-4</v>
      </c>
      <c r="Z4">
        <f t="shared" si="2"/>
        <v>5.8593749999999998E-4</v>
      </c>
      <c r="AA4">
        <f t="shared" si="2"/>
        <v>5.8593749999999998E-4</v>
      </c>
      <c r="AB4">
        <f t="shared" si="2"/>
        <v>5.8593749999999998E-4</v>
      </c>
      <c r="AD4" s="6">
        <v>0</v>
      </c>
      <c r="AE4" s="14">
        <f>(W4*4096)/3.3</f>
        <v>0.72727272727272729</v>
      </c>
      <c r="AF4" s="14">
        <f t="shared" ref="AF4:AJ19" si="3">(X4*4096)/3.3</f>
        <v>0.72727272727272729</v>
      </c>
      <c r="AG4" s="14">
        <f t="shared" si="3"/>
        <v>0.72727272727272729</v>
      </c>
      <c r="AH4" s="14">
        <f t="shared" si="3"/>
        <v>0.72727272727272729</v>
      </c>
      <c r="AI4" s="14">
        <f t="shared" si="3"/>
        <v>0.72727272727272729</v>
      </c>
      <c r="AJ4" s="14">
        <f>(AB4*4096)/3.3</f>
        <v>0.72727272727272729</v>
      </c>
      <c r="AL4" s="6">
        <v>0</v>
      </c>
      <c r="AM4">
        <f>(AE4*3.3)/4096</f>
        <v>5.8593749999999998E-4</v>
      </c>
      <c r="AN4">
        <f t="shared" ref="AN4:AR19" si="4">(AF4*3.3)/4096</f>
        <v>5.8593749999999998E-4</v>
      </c>
      <c r="AO4">
        <f t="shared" si="4"/>
        <v>5.8593749999999998E-4</v>
      </c>
      <c r="AP4">
        <f t="shared" si="4"/>
        <v>5.8593749999999998E-4</v>
      </c>
      <c r="AQ4">
        <f t="shared" si="4"/>
        <v>5.8593749999999998E-4</v>
      </c>
      <c r="AR4">
        <f t="shared" si="4"/>
        <v>5.8593749999999998E-4</v>
      </c>
      <c r="AT4" s="6">
        <v>0</v>
      </c>
      <c r="AU4" s="14">
        <f>(AM4*4096)/3.3</f>
        <v>0.72727272727272729</v>
      </c>
      <c r="AV4" s="14">
        <f t="shared" ref="AV4:AV63" si="5">(AN4*4096)/3.3</f>
        <v>0.72727272727272729</v>
      </c>
      <c r="AW4" s="14">
        <f t="shared" ref="AW4:AW63" si="6">(AO4*4096)/3.3</f>
        <v>0.72727272727272729</v>
      </c>
      <c r="AX4" s="14">
        <f t="shared" ref="AX4:AX63" si="7">(AP4*4096)/3.3</f>
        <v>0.72727272727272729</v>
      </c>
      <c r="AY4" s="14">
        <f t="shared" ref="AY4:AY63" si="8">(AQ4*4096)/3.3</f>
        <v>0.72727272727272729</v>
      </c>
      <c r="AZ4" s="14">
        <f>(AR4*4096)/3.3</f>
        <v>0.72727272727272729</v>
      </c>
    </row>
    <row r="5" spans="1:52" x14ac:dyDescent="0.45">
      <c r="A5" s="6">
        <v>0.2</v>
      </c>
      <c r="B5" s="12">
        <v>3</v>
      </c>
      <c r="C5" s="12">
        <v>5</v>
      </c>
      <c r="D5" s="12">
        <v>10</v>
      </c>
      <c r="E5" s="12">
        <v>13</v>
      </c>
      <c r="F5" s="12">
        <v>16</v>
      </c>
      <c r="G5" s="12">
        <v>19</v>
      </c>
      <c r="H5" s="4">
        <v>9</v>
      </c>
      <c r="I5" s="4">
        <v>12</v>
      </c>
      <c r="K5" s="6">
        <v>2</v>
      </c>
      <c r="L5" s="6">
        <v>0.2</v>
      </c>
      <c r="M5" s="1">
        <f t="shared" ref="M5:M63" si="9">IF((B5*M$2)&gt;1454, 1454,(B5*M$2))</f>
        <v>135</v>
      </c>
      <c r="N5" s="1">
        <f t="shared" ref="N5:N63" si="10">IF((C5*N$2)&gt;1454, 1454,(C5*N$2))</f>
        <v>125</v>
      </c>
      <c r="O5" s="1">
        <f t="shared" ref="O5:O63" si="11">IF((D5*O$2)&gt;1454, 1454,(D5*O$2))</f>
        <v>300</v>
      </c>
      <c r="P5" s="1">
        <f t="shared" ref="P5:P63" si="12">IF((E5*P$2)&gt;1454, 1454,(E5*P$2))</f>
        <v>390</v>
      </c>
      <c r="Q5" s="1">
        <f t="shared" ref="Q5:Q63" si="13">IF((F5*Q$2)&gt;1454, 1454,(F5*Q$2))</f>
        <v>480</v>
      </c>
      <c r="R5" s="1">
        <f t="shared" ref="R5:R63" si="14">IF((G5*R$2)&gt;1454, 1454,(G5*R$2))</f>
        <v>855</v>
      </c>
      <c r="S5" s="1">
        <f t="shared" ref="S5:S63" si="15">IF((H5*S$2)&gt;1454, 1454,(H5*S$2))</f>
        <v>324</v>
      </c>
      <c r="T5" s="5">
        <f t="shared" si="1"/>
        <v>456</v>
      </c>
      <c r="U5" s="2"/>
      <c r="V5" s="6">
        <v>0.2</v>
      </c>
      <c r="W5">
        <f t="shared" ref="W5:W63" si="16">(B5*2.4)/4096</f>
        <v>1.7578124999999998E-3</v>
      </c>
      <c r="X5">
        <f t="shared" si="2"/>
        <v>2.9296875E-3</v>
      </c>
      <c r="Y5">
        <f t="shared" si="2"/>
        <v>5.859375E-3</v>
      </c>
      <c r="Z5">
        <f t="shared" si="2"/>
        <v>7.6171874999999998E-3</v>
      </c>
      <c r="AA5">
        <f t="shared" si="2"/>
        <v>9.3749999999999997E-3</v>
      </c>
      <c r="AB5">
        <f t="shared" si="2"/>
        <v>1.11328125E-2</v>
      </c>
      <c r="AD5" s="6">
        <v>0.2</v>
      </c>
      <c r="AE5" s="14">
        <f t="shared" ref="AE5:AE63" si="17">(W5*4096)/3.3</f>
        <v>2.1818181818181817</v>
      </c>
      <c r="AF5" s="14">
        <f t="shared" si="3"/>
        <v>3.6363636363636367</v>
      </c>
      <c r="AG5" s="14">
        <f t="shared" si="3"/>
        <v>7.2727272727272734</v>
      </c>
      <c r="AH5" s="14">
        <f t="shared" si="3"/>
        <v>9.454545454545455</v>
      </c>
      <c r="AI5" s="14">
        <f t="shared" si="3"/>
        <v>11.636363636363637</v>
      </c>
      <c r="AJ5" s="14">
        <f>(AB5*4096)/3.3</f>
        <v>13.81818181818182</v>
      </c>
      <c r="AL5" s="6">
        <v>0.2</v>
      </c>
      <c r="AM5">
        <f>(AE5*3.3)/4096</f>
        <v>1.7578124999999998E-3</v>
      </c>
      <c r="AN5">
        <f t="shared" si="4"/>
        <v>2.9296875E-3</v>
      </c>
      <c r="AO5">
        <f t="shared" si="4"/>
        <v>5.859375E-3</v>
      </c>
      <c r="AP5">
        <f t="shared" si="4"/>
        <v>7.6171874999999998E-3</v>
      </c>
      <c r="AQ5">
        <f t="shared" si="4"/>
        <v>9.3749999999999997E-3</v>
      </c>
      <c r="AR5">
        <f t="shared" si="4"/>
        <v>1.11328125E-2</v>
      </c>
      <c r="AT5" s="6">
        <v>0.2</v>
      </c>
      <c r="AU5" s="14">
        <f t="shared" ref="AU5:AU63" si="18">(AM5*4096)/3.3</f>
        <v>2.1818181818181817</v>
      </c>
      <c r="AV5" s="14">
        <f>(AN5*4096)/3.3</f>
        <v>3.6363636363636367</v>
      </c>
      <c r="AW5" s="14">
        <f t="shared" si="6"/>
        <v>7.2727272727272734</v>
      </c>
      <c r="AX5" s="14">
        <f t="shared" si="7"/>
        <v>9.454545454545455</v>
      </c>
      <c r="AY5" s="14">
        <f t="shared" si="8"/>
        <v>11.636363636363637</v>
      </c>
      <c r="AZ5" s="14">
        <f>(AR5*4096)/3.3</f>
        <v>13.81818181818182</v>
      </c>
    </row>
    <row r="6" spans="1:52" x14ac:dyDescent="0.45">
      <c r="A6" s="6">
        <v>0.4</v>
      </c>
      <c r="B6" s="12">
        <v>6</v>
      </c>
      <c r="C6" s="12">
        <v>7</v>
      </c>
      <c r="D6" s="12">
        <v>12</v>
      </c>
      <c r="E6" s="12">
        <v>15</v>
      </c>
      <c r="F6" s="12">
        <v>17</v>
      </c>
      <c r="G6" s="12">
        <v>20</v>
      </c>
      <c r="H6" s="4">
        <v>14</v>
      </c>
      <c r="I6" s="4">
        <v>14</v>
      </c>
      <c r="K6" s="6">
        <v>3</v>
      </c>
      <c r="L6" s="6">
        <v>0.4</v>
      </c>
      <c r="M6" s="1">
        <f t="shared" si="9"/>
        <v>270</v>
      </c>
      <c r="N6" s="1">
        <f t="shared" si="10"/>
        <v>175</v>
      </c>
      <c r="O6" s="1">
        <f t="shared" si="11"/>
        <v>360</v>
      </c>
      <c r="P6" s="1">
        <f t="shared" si="12"/>
        <v>450</v>
      </c>
      <c r="Q6" s="1">
        <f t="shared" si="13"/>
        <v>510</v>
      </c>
      <c r="R6" s="1">
        <f t="shared" si="14"/>
        <v>900</v>
      </c>
      <c r="S6" s="1">
        <f t="shared" si="15"/>
        <v>504</v>
      </c>
      <c r="T6" s="5">
        <f t="shared" si="1"/>
        <v>532</v>
      </c>
      <c r="U6" s="2"/>
      <c r="V6" s="6">
        <v>0.4</v>
      </c>
      <c r="W6">
        <f t="shared" si="16"/>
        <v>3.5156249999999997E-3</v>
      </c>
      <c r="X6">
        <f t="shared" si="2"/>
        <v>4.1015625000000002E-3</v>
      </c>
      <c r="Y6">
        <f t="shared" si="2"/>
        <v>7.0312499999999993E-3</v>
      </c>
      <c r="Z6">
        <f t="shared" si="2"/>
        <v>8.7890625E-3</v>
      </c>
      <c r="AA6">
        <f t="shared" si="2"/>
        <v>9.9609374999999993E-3</v>
      </c>
      <c r="AB6">
        <f t="shared" si="2"/>
        <v>1.171875E-2</v>
      </c>
      <c r="AD6" s="6">
        <v>0.4</v>
      </c>
      <c r="AE6" s="14">
        <f t="shared" si="17"/>
        <v>4.3636363636363633</v>
      </c>
      <c r="AF6" s="14">
        <f t="shared" si="3"/>
        <v>5.0909090909090917</v>
      </c>
      <c r="AG6" s="14">
        <f t="shared" si="3"/>
        <v>8.7272727272727266</v>
      </c>
      <c r="AH6" s="14">
        <f t="shared" si="3"/>
        <v>10.90909090909091</v>
      </c>
      <c r="AI6" s="14">
        <f t="shared" si="3"/>
        <v>12.363636363636363</v>
      </c>
      <c r="AJ6" s="14">
        <f t="shared" si="3"/>
        <v>14.545454545454547</v>
      </c>
      <c r="AL6" s="6">
        <v>0.4</v>
      </c>
      <c r="AM6">
        <f t="shared" ref="AM6:AM63" si="19">(AE6*3.3)/4096</f>
        <v>3.5156249999999997E-3</v>
      </c>
      <c r="AN6">
        <f t="shared" si="4"/>
        <v>4.1015625000000002E-3</v>
      </c>
      <c r="AO6">
        <f t="shared" si="4"/>
        <v>7.0312499999999993E-3</v>
      </c>
      <c r="AP6">
        <f t="shared" si="4"/>
        <v>8.7890625E-3</v>
      </c>
      <c r="AQ6">
        <f t="shared" si="4"/>
        <v>9.9609374999999993E-3</v>
      </c>
      <c r="AR6">
        <f t="shared" si="4"/>
        <v>1.171875E-2</v>
      </c>
      <c r="AT6" s="6">
        <v>0.4</v>
      </c>
      <c r="AU6" s="14">
        <f t="shared" si="18"/>
        <v>4.3636363636363633</v>
      </c>
      <c r="AV6" s="14">
        <f t="shared" si="5"/>
        <v>5.0909090909090917</v>
      </c>
      <c r="AW6" s="14">
        <f t="shared" si="6"/>
        <v>8.7272727272727266</v>
      </c>
      <c r="AX6" s="14">
        <f t="shared" si="7"/>
        <v>10.90909090909091</v>
      </c>
      <c r="AY6" s="14">
        <f t="shared" si="8"/>
        <v>12.363636363636363</v>
      </c>
      <c r="AZ6" s="14">
        <f t="shared" ref="AZ6:AZ63" si="20">(AR6*4096)/3.3</f>
        <v>14.545454545454547</v>
      </c>
    </row>
    <row r="7" spans="1:52" x14ac:dyDescent="0.45">
      <c r="A7" s="6">
        <v>0.6</v>
      </c>
      <c r="B7" s="12">
        <v>9</v>
      </c>
      <c r="C7" s="12">
        <v>9</v>
      </c>
      <c r="D7" s="12">
        <v>13</v>
      </c>
      <c r="E7" s="12">
        <v>16</v>
      </c>
      <c r="F7" s="12">
        <v>19</v>
      </c>
      <c r="G7" s="12">
        <v>22</v>
      </c>
      <c r="H7" s="4">
        <v>17</v>
      </c>
      <c r="I7" s="4">
        <v>16</v>
      </c>
      <c r="K7" s="6">
        <v>4</v>
      </c>
      <c r="L7" s="6">
        <v>0.6</v>
      </c>
      <c r="M7" s="1">
        <f t="shared" si="9"/>
        <v>405</v>
      </c>
      <c r="N7" s="1">
        <f t="shared" si="10"/>
        <v>225</v>
      </c>
      <c r="O7" s="1">
        <f t="shared" si="11"/>
        <v>390</v>
      </c>
      <c r="P7" s="1">
        <f t="shared" si="12"/>
        <v>480</v>
      </c>
      <c r="Q7" s="1">
        <f t="shared" si="13"/>
        <v>570</v>
      </c>
      <c r="R7" s="1">
        <f t="shared" si="14"/>
        <v>990</v>
      </c>
      <c r="S7" s="1">
        <f t="shared" si="15"/>
        <v>612</v>
      </c>
      <c r="T7" s="5">
        <f t="shared" si="1"/>
        <v>608</v>
      </c>
      <c r="U7" s="2"/>
      <c r="V7" s="6">
        <v>0.6</v>
      </c>
      <c r="W7">
        <f t="shared" si="16"/>
        <v>5.2734374999999995E-3</v>
      </c>
      <c r="X7">
        <f t="shared" si="2"/>
        <v>5.2734374999999995E-3</v>
      </c>
      <c r="Y7">
        <f t="shared" si="2"/>
        <v>7.6171874999999998E-3</v>
      </c>
      <c r="Z7">
        <f t="shared" si="2"/>
        <v>9.3749999999999997E-3</v>
      </c>
      <c r="AA7">
        <f t="shared" si="2"/>
        <v>1.11328125E-2</v>
      </c>
      <c r="AB7">
        <f t="shared" si="2"/>
        <v>1.2890624999999999E-2</v>
      </c>
      <c r="AD7" s="6">
        <v>0.6</v>
      </c>
      <c r="AE7" s="14">
        <f t="shared" si="17"/>
        <v>6.545454545454545</v>
      </c>
      <c r="AF7" s="14">
        <f t="shared" si="3"/>
        <v>6.545454545454545</v>
      </c>
      <c r="AG7" s="14">
        <f t="shared" si="3"/>
        <v>9.454545454545455</v>
      </c>
      <c r="AH7" s="14">
        <f t="shared" si="3"/>
        <v>11.636363636363637</v>
      </c>
      <c r="AI7" s="14">
        <f t="shared" si="3"/>
        <v>13.81818181818182</v>
      </c>
      <c r="AJ7" s="14">
        <f t="shared" si="3"/>
        <v>16</v>
      </c>
      <c r="AL7" s="6">
        <v>0.6</v>
      </c>
      <c r="AM7">
        <f t="shared" si="19"/>
        <v>5.2734374999999995E-3</v>
      </c>
      <c r="AN7">
        <f t="shared" si="4"/>
        <v>5.2734374999999995E-3</v>
      </c>
      <c r="AO7">
        <f t="shared" si="4"/>
        <v>7.6171874999999998E-3</v>
      </c>
      <c r="AP7">
        <f t="shared" si="4"/>
        <v>9.3749999999999997E-3</v>
      </c>
      <c r="AQ7">
        <f t="shared" si="4"/>
        <v>1.11328125E-2</v>
      </c>
      <c r="AR7">
        <f t="shared" si="4"/>
        <v>1.2890624999999999E-2</v>
      </c>
      <c r="AT7" s="6">
        <v>0.6</v>
      </c>
      <c r="AU7" s="14">
        <f t="shared" si="18"/>
        <v>6.545454545454545</v>
      </c>
      <c r="AV7" s="14">
        <f t="shared" si="5"/>
        <v>6.545454545454545</v>
      </c>
      <c r="AW7" s="14">
        <f t="shared" si="6"/>
        <v>9.454545454545455</v>
      </c>
      <c r="AX7" s="14">
        <f t="shared" si="7"/>
        <v>11.636363636363637</v>
      </c>
      <c r="AY7" s="14">
        <f t="shared" si="8"/>
        <v>13.81818181818182</v>
      </c>
      <c r="AZ7" s="14">
        <f t="shared" si="20"/>
        <v>16</v>
      </c>
    </row>
    <row r="8" spans="1:52" x14ac:dyDescent="0.45">
      <c r="A8" s="6">
        <v>0.8</v>
      </c>
      <c r="B8" s="12">
        <v>12</v>
      </c>
      <c r="C8" s="12">
        <v>12</v>
      </c>
      <c r="D8" s="12">
        <v>15</v>
      </c>
      <c r="E8" s="12">
        <v>17</v>
      </c>
      <c r="F8" s="12">
        <v>20</v>
      </c>
      <c r="G8" s="12">
        <v>23</v>
      </c>
      <c r="H8" s="4">
        <v>20</v>
      </c>
      <c r="I8" s="4">
        <v>22</v>
      </c>
      <c r="K8" s="6">
        <v>5</v>
      </c>
      <c r="L8" s="6">
        <v>0.8</v>
      </c>
      <c r="M8" s="1">
        <f t="shared" si="9"/>
        <v>540</v>
      </c>
      <c r="N8" s="1">
        <f t="shared" si="10"/>
        <v>300</v>
      </c>
      <c r="O8" s="1">
        <f t="shared" si="11"/>
        <v>450</v>
      </c>
      <c r="P8" s="1">
        <f t="shared" si="12"/>
        <v>510</v>
      </c>
      <c r="Q8" s="1">
        <f t="shared" si="13"/>
        <v>600</v>
      </c>
      <c r="R8" s="1">
        <f t="shared" si="14"/>
        <v>1035</v>
      </c>
      <c r="S8" s="1">
        <f t="shared" si="15"/>
        <v>720</v>
      </c>
      <c r="T8" s="5">
        <f t="shared" si="1"/>
        <v>836</v>
      </c>
      <c r="U8" s="2"/>
      <c r="V8" s="6">
        <v>0.8</v>
      </c>
      <c r="W8">
        <f t="shared" si="16"/>
        <v>7.0312499999999993E-3</v>
      </c>
      <c r="X8">
        <f t="shared" si="2"/>
        <v>7.0312499999999993E-3</v>
      </c>
      <c r="Y8">
        <f t="shared" si="2"/>
        <v>8.7890625E-3</v>
      </c>
      <c r="Z8">
        <f t="shared" si="2"/>
        <v>9.9609374999999993E-3</v>
      </c>
      <c r="AA8">
        <f t="shared" si="2"/>
        <v>1.171875E-2</v>
      </c>
      <c r="AB8">
        <f t="shared" si="2"/>
        <v>1.3476562499999999E-2</v>
      </c>
      <c r="AD8" s="6">
        <v>0.8</v>
      </c>
      <c r="AE8" s="14">
        <f t="shared" si="17"/>
        <v>8.7272727272727266</v>
      </c>
      <c r="AF8" s="14">
        <f t="shared" si="3"/>
        <v>8.7272727272727266</v>
      </c>
      <c r="AG8" s="14">
        <f t="shared" si="3"/>
        <v>10.90909090909091</v>
      </c>
      <c r="AH8" s="14">
        <f t="shared" si="3"/>
        <v>12.363636363636363</v>
      </c>
      <c r="AI8" s="14">
        <f t="shared" si="3"/>
        <v>14.545454545454547</v>
      </c>
      <c r="AJ8" s="14">
        <f t="shared" si="3"/>
        <v>16.727272727272727</v>
      </c>
      <c r="AL8" s="6">
        <v>0.8</v>
      </c>
      <c r="AM8">
        <f t="shared" si="19"/>
        <v>7.0312499999999993E-3</v>
      </c>
      <c r="AN8">
        <f t="shared" si="4"/>
        <v>7.0312499999999993E-3</v>
      </c>
      <c r="AO8">
        <f t="shared" si="4"/>
        <v>8.7890625E-3</v>
      </c>
      <c r="AP8">
        <f t="shared" si="4"/>
        <v>9.9609374999999993E-3</v>
      </c>
      <c r="AQ8">
        <f t="shared" si="4"/>
        <v>1.171875E-2</v>
      </c>
      <c r="AR8">
        <f t="shared" si="4"/>
        <v>1.3476562499999999E-2</v>
      </c>
      <c r="AT8" s="6">
        <v>0.8</v>
      </c>
      <c r="AU8" s="14">
        <f t="shared" si="18"/>
        <v>8.7272727272727266</v>
      </c>
      <c r="AV8" s="14">
        <f t="shared" si="5"/>
        <v>8.7272727272727266</v>
      </c>
      <c r="AW8" s="14">
        <f t="shared" si="6"/>
        <v>10.90909090909091</v>
      </c>
      <c r="AX8" s="14">
        <f t="shared" si="7"/>
        <v>12.363636363636363</v>
      </c>
      <c r="AY8" s="14">
        <f t="shared" si="8"/>
        <v>14.545454545454547</v>
      </c>
      <c r="AZ8" s="14">
        <f t="shared" si="20"/>
        <v>16.727272727272727</v>
      </c>
    </row>
    <row r="9" spans="1:52" x14ac:dyDescent="0.45">
      <c r="A9" s="6">
        <v>1</v>
      </c>
      <c r="B9" s="12">
        <v>15</v>
      </c>
      <c r="C9" s="12">
        <v>15</v>
      </c>
      <c r="D9" s="12">
        <v>16</v>
      </c>
      <c r="E9" s="12">
        <v>19</v>
      </c>
      <c r="F9" s="12">
        <v>22</v>
      </c>
      <c r="G9" s="12">
        <v>25</v>
      </c>
      <c r="H9" s="4">
        <v>22</v>
      </c>
      <c r="I9" s="4">
        <v>30</v>
      </c>
      <c r="K9" s="6">
        <v>6</v>
      </c>
      <c r="L9" s="6">
        <v>1</v>
      </c>
      <c r="M9" s="1">
        <f t="shared" si="9"/>
        <v>675</v>
      </c>
      <c r="N9" s="1">
        <f t="shared" si="10"/>
        <v>375</v>
      </c>
      <c r="O9" s="1">
        <f t="shared" si="11"/>
        <v>480</v>
      </c>
      <c r="P9" s="1">
        <f t="shared" si="12"/>
        <v>570</v>
      </c>
      <c r="Q9" s="1">
        <f t="shared" si="13"/>
        <v>660</v>
      </c>
      <c r="R9" s="1">
        <f t="shared" si="14"/>
        <v>1125</v>
      </c>
      <c r="S9" s="1">
        <f t="shared" si="15"/>
        <v>792</v>
      </c>
      <c r="T9" s="5">
        <f t="shared" si="1"/>
        <v>1140</v>
      </c>
      <c r="U9" s="2"/>
      <c r="V9" s="6">
        <v>1</v>
      </c>
      <c r="W9">
        <f t="shared" si="16"/>
        <v>8.7890625E-3</v>
      </c>
      <c r="X9">
        <f t="shared" si="2"/>
        <v>8.7890625E-3</v>
      </c>
      <c r="Y9">
        <f t="shared" si="2"/>
        <v>9.3749999999999997E-3</v>
      </c>
      <c r="Z9">
        <f t="shared" si="2"/>
        <v>1.11328125E-2</v>
      </c>
      <c r="AA9">
        <f t="shared" si="2"/>
        <v>1.2890624999999999E-2</v>
      </c>
      <c r="AB9">
        <f t="shared" si="2"/>
        <v>1.46484375E-2</v>
      </c>
      <c r="AD9" s="6">
        <v>1</v>
      </c>
      <c r="AE9" s="14">
        <f t="shared" si="17"/>
        <v>10.90909090909091</v>
      </c>
      <c r="AF9" s="14">
        <f t="shared" si="3"/>
        <v>10.90909090909091</v>
      </c>
      <c r="AG9" s="14">
        <f t="shared" si="3"/>
        <v>11.636363636363637</v>
      </c>
      <c r="AH9" s="14">
        <f t="shared" si="3"/>
        <v>13.81818181818182</v>
      </c>
      <c r="AI9" s="14">
        <f t="shared" si="3"/>
        <v>16</v>
      </c>
      <c r="AJ9" s="14">
        <f t="shared" si="3"/>
        <v>18.181818181818183</v>
      </c>
      <c r="AL9" s="6">
        <v>1</v>
      </c>
      <c r="AM9">
        <f t="shared" si="19"/>
        <v>8.7890625E-3</v>
      </c>
      <c r="AN9">
        <f t="shared" si="4"/>
        <v>8.7890625E-3</v>
      </c>
      <c r="AO9">
        <f t="shared" si="4"/>
        <v>9.3749999999999997E-3</v>
      </c>
      <c r="AP9">
        <f t="shared" si="4"/>
        <v>1.11328125E-2</v>
      </c>
      <c r="AQ9">
        <f t="shared" si="4"/>
        <v>1.2890624999999999E-2</v>
      </c>
      <c r="AR9">
        <f t="shared" si="4"/>
        <v>1.46484375E-2</v>
      </c>
      <c r="AT9" s="6">
        <v>1</v>
      </c>
      <c r="AU9" s="14">
        <f t="shared" si="18"/>
        <v>10.90909090909091</v>
      </c>
      <c r="AV9" s="14">
        <f t="shared" si="5"/>
        <v>10.90909090909091</v>
      </c>
      <c r="AW9" s="14">
        <f t="shared" si="6"/>
        <v>11.636363636363637</v>
      </c>
      <c r="AX9" s="14">
        <f t="shared" si="7"/>
        <v>13.81818181818182</v>
      </c>
      <c r="AY9" s="14">
        <f t="shared" si="8"/>
        <v>16</v>
      </c>
      <c r="AZ9" s="14">
        <f t="shared" si="20"/>
        <v>18.181818181818183</v>
      </c>
    </row>
    <row r="10" spans="1:52" x14ac:dyDescent="0.45">
      <c r="A10" s="6">
        <v>1.2</v>
      </c>
      <c r="B10" s="12">
        <v>17</v>
      </c>
      <c r="C10" s="12">
        <v>17</v>
      </c>
      <c r="D10" s="12">
        <v>17</v>
      </c>
      <c r="E10" s="12">
        <v>20</v>
      </c>
      <c r="F10" s="12">
        <v>23</v>
      </c>
      <c r="G10" s="12">
        <v>26</v>
      </c>
      <c r="H10" s="4">
        <v>24</v>
      </c>
      <c r="I10" s="4">
        <v>33</v>
      </c>
      <c r="K10" s="6">
        <v>7</v>
      </c>
      <c r="L10" s="6">
        <v>1.2</v>
      </c>
      <c r="M10" s="1">
        <f t="shared" si="9"/>
        <v>765</v>
      </c>
      <c r="N10" s="1">
        <f t="shared" si="10"/>
        <v>425</v>
      </c>
      <c r="O10" s="1">
        <f t="shared" si="11"/>
        <v>510</v>
      </c>
      <c r="P10" s="1">
        <f t="shared" si="12"/>
        <v>600</v>
      </c>
      <c r="Q10" s="1">
        <f t="shared" si="13"/>
        <v>690</v>
      </c>
      <c r="R10" s="1">
        <f t="shared" si="14"/>
        <v>1170</v>
      </c>
      <c r="S10" s="1">
        <f t="shared" si="15"/>
        <v>864</v>
      </c>
      <c r="T10" s="5">
        <f t="shared" si="1"/>
        <v>1254</v>
      </c>
      <c r="U10" s="2"/>
      <c r="V10" s="6">
        <v>1.2</v>
      </c>
      <c r="W10">
        <f t="shared" si="16"/>
        <v>9.9609374999999993E-3</v>
      </c>
      <c r="X10">
        <f t="shared" si="2"/>
        <v>9.9609374999999993E-3</v>
      </c>
      <c r="Y10">
        <f t="shared" si="2"/>
        <v>9.9609374999999993E-3</v>
      </c>
      <c r="Z10">
        <f t="shared" si="2"/>
        <v>1.171875E-2</v>
      </c>
      <c r="AA10">
        <f t="shared" si="2"/>
        <v>1.3476562499999999E-2</v>
      </c>
      <c r="AB10">
        <f t="shared" si="2"/>
        <v>1.5234375E-2</v>
      </c>
      <c r="AD10" s="6">
        <v>1.2</v>
      </c>
      <c r="AE10" s="14">
        <f t="shared" si="17"/>
        <v>12.363636363636363</v>
      </c>
      <c r="AF10" s="14">
        <f t="shared" si="3"/>
        <v>12.363636363636363</v>
      </c>
      <c r="AG10" s="14">
        <f t="shared" si="3"/>
        <v>12.363636363636363</v>
      </c>
      <c r="AH10" s="14">
        <f t="shared" si="3"/>
        <v>14.545454545454547</v>
      </c>
      <c r="AI10" s="14">
        <f t="shared" si="3"/>
        <v>16.727272727272727</v>
      </c>
      <c r="AJ10" s="14">
        <f t="shared" si="3"/>
        <v>18.90909090909091</v>
      </c>
      <c r="AL10" s="6">
        <v>1.2</v>
      </c>
      <c r="AM10">
        <f t="shared" si="19"/>
        <v>9.9609374999999993E-3</v>
      </c>
      <c r="AN10">
        <f t="shared" si="4"/>
        <v>9.9609374999999993E-3</v>
      </c>
      <c r="AO10">
        <f t="shared" si="4"/>
        <v>9.9609374999999993E-3</v>
      </c>
      <c r="AP10">
        <f t="shared" si="4"/>
        <v>1.171875E-2</v>
      </c>
      <c r="AQ10">
        <f t="shared" si="4"/>
        <v>1.3476562499999999E-2</v>
      </c>
      <c r="AR10">
        <f t="shared" si="4"/>
        <v>1.5234375E-2</v>
      </c>
      <c r="AT10" s="6">
        <v>1.2</v>
      </c>
      <c r="AU10" s="14">
        <f t="shared" si="18"/>
        <v>12.363636363636363</v>
      </c>
      <c r="AV10" s="14">
        <f t="shared" si="5"/>
        <v>12.363636363636363</v>
      </c>
      <c r="AW10" s="14">
        <f t="shared" si="6"/>
        <v>12.363636363636363</v>
      </c>
      <c r="AX10" s="14">
        <f t="shared" si="7"/>
        <v>14.545454545454547</v>
      </c>
      <c r="AY10" s="14">
        <f t="shared" si="8"/>
        <v>16.727272727272727</v>
      </c>
      <c r="AZ10" s="14">
        <f t="shared" si="20"/>
        <v>18.90909090909091</v>
      </c>
    </row>
    <row r="11" spans="1:52" x14ac:dyDescent="0.45">
      <c r="A11" s="6">
        <v>1.4</v>
      </c>
      <c r="B11" s="12">
        <v>20</v>
      </c>
      <c r="C11" s="12">
        <v>20</v>
      </c>
      <c r="D11" s="12">
        <v>20</v>
      </c>
      <c r="E11" s="12">
        <v>22</v>
      </c>
      <c r="F11" s="12">
        <v>25</v>
      </c>
      <c r="G11" s="12">
        <v>28</v>
      </c>
      <c r="H11" s="4">
        <v>25</v>
      </c>
      <c r="I11" s="4">
        <v>35</v>
      </c>
      <c r="K11" s="6">
        <v>8</v>
      </c>
      <c r="L11" s="6">
        <v>1.4</v>
      </c>
      <c r="M11" s="1">
        <f t="shared" si="9"/>
        <v>900</v>
      </c>
      <c r="N11" s="1">
        <f t="shared" si="10"/>
        <v>500</v>
      </c>
      <c r="O11" s="1">
        <f t="shared" si="11"/>
        <v>600</v>
      </c>
      <c r="P11" s="1">
        <f t="shared" si="12"/>
        <v>660</v>
      </c>
      <c r="Q11" s="1">
        <f t="shared" si="13"/>
        <v>750</v>
      </c>
      <c r="R11" s="1">
        <f t="shared" si="14"/>
        <v>1260</v>
      </c>
      <c r="S11" s="1">
        <f t="shared" si="15"/>
        <v>900</v>
      </c>
      <c r="T11" s="5">
        <f t="shared" si="1"/>
        <v>1330</v>
      </c>
      <c r="U11" s="2"/>
      <c r="V11" s="6">
        <v>1.4</v>
      </c>
      <c r="W11">
        <f t="shared" si="16"/>
        <v>1.171875E-2</v>
      </c>
      <c r="X11">
        <f t="shared" si="2"/>
        <v>1.171875E-2</v>
      </c>
      <c r="Y11">
        <f t="shared" si="2"/>
        <v>1.171875E-2</v>
      </c>
      <c r="Z11">
        <f t="shared" si="2"/>
        <v>1.2890624999999999E-2</v>
      </c>
      <c r="AA11">
        <f t="shared" si="2"/>
        <v>1.46484375E-2</v>
      </c>
      <c r="AB11">
        <f t="shared" si="2"/>
        <v>1.6406250000000001E-2</v>
      </c>
      <c r="AD11" s="6">
        <v>1.4</v>
      </c>
      <c r="AE11" s="14">
        <f t="shared" si="17"/>
        <v>14.545454545454547</v>
      </c>
      <c r="AF11" s="14">
        <f t="shared" si="3"/>
        <v>14.545454545454547</v>
      </c>
      <c r="AG11" s="14">
        <f t="shared" si="3"/>
        <v>14.545454545454547</v>
      </c>
      <c r="AH11" s="14">
        <f t="shared" si="3"/>
        <v>16</v>
      </c>
      <c r="AI11" s="14">
        <f t="shared" si="3"/>
        <v>18.181818181818183</v>
      </c>
      <c r="AJ11" s="14">
        <f t="shared" si="3"/>
        <v>20.363636363636367</v>
      </c>
      <c r="AL11" s="6">
        <v>1.4</v>
      </c>
      <c r="AM11">
        <f t="shared" si="19"/>
        <v>1.171875E-2</v>
      </c>
      <c r="AN11">
        <f t="shared" si="4"/>
        <v>1.171875E-2</v>
      </c>
      <c r="AO11">
        <f t="shared" si="4"/>
        <v>1.171875E-2</v>
      </c>
      <c r="AP11">
        <f t="shared" si="4"/>
        <v>1.2890624999999999E-2</v>
      </c>
      <c r="AQ11">
        <f t="shared" si="4"/>
        <v>1.46484375E-2</v>
      </c>
      <c r="AR11">
        <f t="shared" si="4"/>
        <v>1.6406250000000001E-2</v>
      </c>
      <c r="AT11" s="6">
        <v>1.4</v>
      </c>
      <c r="AU11" s="14">
        <f t="shared" si="18"/>
        <v>14.545454545454547</v>
      </c>
      <c r="AV11" s="14">
        <f t="shared" si="5"/>
        <v>14.545454545454547</v>
      </c>
      <c r="AW11" s="14">
        <f t="shared" si="6"/>
        <v>14.545454545454547</v>
      </c>
      <c r="AX11" s="14">
        <f t="shared" si="7"/>
        <v>16</v>
      </c>
      <c r="AY11" s="14">
        <f t="shared" si="8"/>
        <v>18.181818181818183</v>
      </c>
      <c r="AZ11" s="14">
        <f t="shared" si="20"/>
        <v>20.363636363636367</v>
      </c>
    </row>
    <row r="12" spans="1:52" x14ac:dyDescent="0.45">
      <c r="A12" s="6">
        <v>1.6</v>
      </c>
      <c r="B12" s="12">
        <v>23</v>
      </c>
      <c r="C12" s="12">
        <v>23</v>
      </c>
      <c r="D12" s="12">
        <v>23</v>
      </c>
      <c r="E12" s="12">
        <v>23</v>
      </c>
      <c r="F12" s="12">
        <v>26</v>
      </c>
      <c r="G12" s="12">
        <v>29</v>
      </c>
      <c r="H12" s="4">
        <v>27</v>
      </c>
      <c r="I12" s="4">
        <v>37</v>
      </c>
      <c r="K12" s="6">
        <v>9</v>
      </c>
      <c r="L12" s="6">
        <v>1.6</v>
      </c>
      <c r="M12" s="1">
        <f t="shared" si="9"/>
        <v>1035</v>
      </c>
      <c r="N12" s="1">
        <f t="shared" si="10"/>
        <v>575</v>
      </c>
      <c r="O12" s="1">
        <f t="shared" si="11"/>
        <v>690</v>
      </c>
      <c r="P12" s="1">
        <f t="shared" si="12"/>
        <v>690</v>
      </c>
      <c r="Q12" s="1">
        <f t="shared" si="13"/>
        <v>780</v>
      </c>
      <c r="R12" s="1">
        <f t="shared" si="14"/>
        <v>1305</v>
      </c>
      <c r="S12" s="1">
        <f t="shared" si="15"/>
        <v>972</v>
      </c>
      <c r="T12" s="5">
        <f t="shared" si="1"/>
        <v>1406</v>
      </c>
      <c r="U12" s="2"/>
      <c r="V12" s="6">
        <v>1.6</v>
      </c>
      <c r="W12">
        <f t="shared" si="16"/>
        <v>1.3476562499999999E-2</v>
      </c>
      <c r="X12">
        <f t="shared" si="2"/>
        <v>1.3476562499999999E-2</v>
      </c>
      <c r="Y12">
        <f t="shared" si="2"/>
        <v>1.3476562499999999E-2</v>
      </c>
      <c r="Z12">
        <f t="shared" si="2"/>
        <v>1.3476562499999999E-2</v>
      </c>
      <c r="AA12">
        <f t="shared" si="2"/>
        <v>1.5234375E-2</v>
      </c>
      <c r="AB12">
        <f t="shared" si="2"/>
        <v>1.6992187499999999E-2</v>
      </c>
      <c r="AD12" s="6">
        <v>1.6</v>
      </c>
      <c r="AE12" s="14">
        <f t="shared" si="17"/>
        <v>16.727272727272727</v>
      </c>
      <c r="AF12" s="14">
        <f t="shared" si="3"/>
        <v>16.727272727272727</v>
      </c>
      <c r="AG12" s="14">
        <f t="shared" si="3"/>
        <v>16.727272727272727</v>
      </c>
      <c r="AH12" s="14">
        <f t="shared" si="3"/>
        <v>16.727272727272727</v>
      </c>
      <c r="AI12" s="14">
        <f t="shared" si="3"/>
        <v>18.90909090909091</v>
      </c>
      <c r="AJ12" s="14">
        <f t="shared" si="3"/>
        <v>21.09090909090909</v>
      </c>
      <c r="AL12" s="6">
        <v>1.6</v>
      </c>
      <c r="AM12">
        <f t="shared" si="19"/>
        <v>1.3476562499999999E-2</v>
      </c>
      <c r="AN12">
        <f t="shared" si="4"/>
        <v>1.3476562499999999E-2</v>
      </c>
      <c r="AO12">
        <f t="shared" si="4"/>
        <v>1.3476562499999999E-2</v>
      </c>
      <c r="AP12">
        <f t="shared" si="4"/>
        <v>1.3476562499999999E-2</v>
      </c>
      <c r="AQ12">
        <f t="shared" si="4"/>
        <v>1.5234375E-2</v>
      </c>
      <c r="AR12">
        <f t="shared" si="4"/>
        <v>1.6992187499999999E-2</v>
      </c>
      <c r="AT12" s="6">
        <v>1.6</v>
      </c>
      <c r="AU12" s="14">
        <f t="shared" si="18"/>
        <v>16.727272727272727</v>
      </c>
      <c r="AV12" s="14">
        <f t="shared" si="5"/>
        <v>16.727272727272727</v>
      </c>
      <c r="AW12" s="14">
        <f t="shared" si="6"/>
        <v>16.727272727272727</v>
      </c>
      <c r="AX12" s="14">
        <f t="shared" si="7"/>
        <v>16.727272727272727</v>
      </c>
      <c r="AY12" s="14">
        <f t="shared" si="8"/>
        <v>18.90909090909091</v>
      </c>
      <c r="AZ12" s="14">
        <f t="shared" si="20"/>
        <v>21.09090909090909</v>
      </c>
    </row>
    <row r="13" spans="1:52" x14ac:dyDescent="0.45">
      <c r="A13" s="6">
        <v>1.8</v>
      </c>
      <c r="B13" s="12">
        <v>26</v>
      </c>
      <c r="C13" s="12">
        <v>26</v>
      </c>
      <c r="D13" s="12">
        <v>26</v>
      </c>
      <c r="E13" s="12">
        <v>26</v>
      </c>
      <c r="F13" s="12">
        <v>28</v>
      </c>
      <c r="G13" s="12">
        <v>31</v>
      </c>
      <c r="H13" s="4">
        <v>28</v>
      </c>
      <c r="I13" s="4">
        <v>38</v>
      </c>
      <c r="K13" s="6">
        <v>10</v>
      </c>
      <c r="L13" s="6">
        <v>1.8</v>
      </c>
      <c r="M13" s="1">
        <f t="shared" si="9"/>
        <v>1170</v>
      </c>
      <c r="N13" s="1">
        <f t="shared" si="10"/>
        <v>650</v>
      </c>
      <c r="O13" s="1">
        <f t="shared" si="11"/>
        <v>780</v>
      </c>
      <c r="P13" s="1">
        <f t="shared" si="12"/>
        <v>780</v>
      </c>
      <c r="Q13" s="1">
        <f t="shared" si="13"/>
        <v>840</v>
      </c>
      <c r="R13" s="1">
        <f t="shared" si="14"/>
        <v>1395</v>
      </c>
      <c r="S13" s="1">
        <f t="shared" si="15"/>
        <v>1008</v>
      </c>
      <c r="T13" s="5">
        <f t="shared" si="1"/>
        <v>1444</v>
      </c>
      <c r="U13" s="2"/>
      <c r="V13" s="6">
        <v>1.8</v>
      </c>
      <c r="W13">
        <f t="shared" si="16"/>
        <v>1.5234375E-2</v>
      </c>
      <c r="X13">
        <f t="shared" si="2"/>
        <v>1.5234375E-2</v>
      </c>
      <c r="Y13">
        <f t="shared" si="2"/>
        <v>1.5234375E-2</v>
      </c>
      <c r="Z13">
        <f t="shared" si="2"/>
        <v>1.5234375E-2</v>
      </c>
      <c r="AA13">
        <f t="shared" si="2"/>
        <v>1.6406250000000001E-2</v>
      </c>
      <c r="AB13">
        <f t="shared" si="2"/>
        <v>1.8164062499999998E-2</v>
      </c>
      <c r="AD13" s="6">
        <v>1.8</v>
      </c>
      <c r="AE13" s="14">
        <f t="shared" si="17"/>
        <v>18.90909090909091</v>
      </c>
      <c r="AF13" s="14">
        <f t="shared" si="3"/>
        <v>18.90909090909091</v>
      </c>
      <c r="AG13" s="14">
        <f t="shared" si="3"/>
        <v>18.90909090909091</v>
      </c>
      <c r="AH13" s="14">
        <f t="shared" si="3"/>
        <v>18.90909090909091</v>
      </c>
      <c r="AI13" s="14">
        <f t="shared" si="3"/>
        <v>20.363636363636367</v>
      </c>
      <c r="AJ13" s="14">
        <f t="shared" si="3"/>
        <v>22.545454545454543</v>
      </c>
      <c r="AL13" s="6">
        <v>1.8</v>
      </c>
      <c r="AM13">
        <f t="shared" si="19"/>
        <v>1.5234375E-2</v>
      </c>
      <c r="AN13">
        <f t="shared" si="4"/>
        <v>1.5234375E-2</v>
      </c>
      <c r="AO13">
        <f t="shared" si="4"/>
        <v>1.5234375E-2</v>
      </c>
      <c r="AP13">
        <f t="shared" si="4"/>
        <v>1.5234375E-2</v>
      </c>
      <c r="AQ13">
        <f t="shared" si="4"/>
        <v>1.6406250000000001E-2</v>
      </c>
      <c r="AR13">
        <f t="shared" si="4"/>
        <v>1.8164062499999998E-2</v>
      </c>
      <c r="AT13" s="6">
        <v>1.8</v>
      </c>
      <c r="AU13" s="14">
        <f t="shared" si="18"/>
        <v>18.90909090909091</v>
      </c>
      <c r="AV13" s="14">
        <f t="shared" si="5"/>
        <v>18.90909090909091</v>
      </c>
      <c r="AW13" s="14">
        <f t="shared" si="6"/>
        <v>18.90909090909091</v>
      </c>
      <c r="AX13" s="14">
        <f t="shared" si="7"/>
        <v>18.90909090909091</v>
      </c>
      <c r="AY13" s="14">
        <f t="shared" si="8"/>
        <v>20.363636363636367</v>
      </c>
      <c r="AZ13" s="14">
        <f t="shared" si="20"/>
        <v>22.545454545454543</v>
      </c>
    </row>
    <row r="14" spans="1:52" x14ac:dyDescent="0.45">
      <c r="A14" s="6">
        <v>2</v>
      </c>
      <c r="B14" s="12">
        <v>29</v>
      </c>
      <c r="C14" s="12">
        <v>29</v>
      </c>
      <c r="D14" s="12">
        <v>29</v>
      </c>
      <c r="E14" s="12">
        <v>29</v>
      </c>
      <c r="F14" s="12">
        <v>29</v>
      </c>
      <c r="G14" s="12">
        <v>32</v>
      </c>
      <c r="H14" s="4">
        <v>29</v>
      </c>
      <c r="I14" s="4">
        <v>40</v>
      </c>
      <c r="K14" s="6">
        <v>11</v>
      </c>
      <c r="L14" s="6">
        <v>2</v>
      </c>
      <c r="M14" s="1">
        <f t="shared" si="9"/>
        <v>1305</v>
      </c>
      <c r="N14" s="1">
        <f t="shared" si="10"/>
        <v>725</v>
      </c>
      <c r="O14" s="1">
        <f t="shared" si="11"/>
        <v>870</v>
      </c>
      <c r="P14" s="1">
        <f t="shared" si="12"/>
        <v>870</v>
      </c>
      <c r="Q14" s="1">
        <f t="shared" si="13"/>
        <v>870</v>
      </c>
      <c r="R14" s="1">
        <f t="shared" si="14"/>
        <v>1440</v>
      </c>
      <c r="S14" s="1">
        <f t="shared" si="15"/>
        <v>1044</v>
      </c>
      <c r="T14" s="5">
        <f t="shared" si="1"/>
        <v>1520</v>
      </c>
      <c r="U14" s="2"/>
      <c r="V14" s="6">
        <v>2</v>
      </c>
      <c r="W14">
        <f t="shared" si="16"/>
        <v>1.6992187499999999E-2</v>
      </c>
      <c r="X14">
        <f t="shared" si="2"/>
        <v>1.6992187499999999E-2</v>
      </c>
      <c r="Y14">
        <f t="shared" si="2"/>
        <v>1.6992187499999999E-2</v>
      </c>
      <c r="Z14">
        <f t="shared" si="2"/>
        <v>1.6992187499999999E-2</v>
      </c>
      <c r="AA14">
        <f t="shared" si="2"/>
        <v>1.6992187499999999E-2</v>
      </c>
      <c r="AB14">
        <f t="shared" si="2"/>
        <v>1.8749999999999999E-2</v>
      </c>
      <c r="AD14" s="6">
        <v>2</v>
      </c>
      <c r="AE14" s="14">
        <f t="shared" si="17"/>
        <v>21.09090909090909</v>
      </c>
      <c r="AF14" s="14">
        <f t="shared" si="3"/>
        <v>21.09090909090909</v>
      </c>
      <c r="AG14" s="14">
        <f t="shared" si="3"/>
        <v>21.09090909090909</v>
      </c>
      <c r="AH14" s="14">
        <f t="shared" si="3"/>
        <v>21.09090909090909</v>
      </c>
      <c r="AI14" s="14">
        <f t="shared" si="3"/>
        <v>21.09090909090909</v>
      </c>
      <c r="AJ14" s="14">
        <f t="shared" si="3"/>
        <v>23.272727272727273</v>
      </c>
      <c r="AL14" s="6">
        <v>2</v>
      </c>
      <c r="AM14">
        <f t="shared" si="19"/>
        <v>1.6992187499999999E-2</v>
      </c>
      <c r="AN14">
        <f t="shared" si="4"/>
        <v>1.6992187499999999E-2</v>
      </c>
      <c r="AO14">
        <f t="shared" si="4"/>
        <v>1.6992187499999999E-2</v>
      </c>
      <c r="AP14">
        <f t="shared" si="4"/>
        <v>1.6992187499999999E-2</v>
      </c>
      <c r="AQ14">
        <f t="shared" si="4"/>
        <v>1.6992187499999999E-2</v>
      </c>
      <c r="AR14">
        <f t="shared" si="4"/>
        <v>1.8749999999999999E-2</v>
      </c>
      <c r="AT14" s="6">
        <v>2</v>
      </c>
      <c r="AU14" s="14">
        <f t="shared" si="18"/>
        <v>21.09090909090909</v>
      </c>
      <c r="AV14" s="14">
        <f t="shared" si="5"/>
        <v>21.09090909090909</v>
      </c>
      <c r="AW14" s="14">
        <f t="shared" si="6"/>
        <v>21.09090909090909</v>
      </c>
      <c r="AX14" s="14">
        <f t="shared" si="7"/>
        <v>21.09090909090909</v>
      </c>
      <c r="AY14" s="14">
        <f t="shared" si="8"/>
        <v>21.09090909090909</v>
      </c>
      <c r="AZ14" s="14">
        <f t="shared" si="20"/>
        <v>23.272727272727273</v>
      </c>
    </row>
    <row r="15" spans="1:52" x14ac:dyDescent="0.45">
      <c r="A15" s="6">
        <v>2.2000000000000002</v>
      </c>
      <c r="B15" s="12">
        <v>32</v>
      </c>
      <c r="C15" s="12">
        <v>32</v>
      </c>
      <c r="D15" s="12">
        <v>32</v>
      </c>
      <c r="E15" s="12">
        <v>32</v>
      </c>
      <c r="F15" s="12">
        <v>32</v>
      </c>
      <c r="G15" s="12">
        <v>33</v>
      </c>
      <c r="H15" s="4">
        <v>30</v>
      </c>
      <c r="I15" s="4">
        <v>41</v>
      </c>
      <c r="K15" s="6">
        <v>12</v>
      </c>
      <c r="L15" s="6">
        <v>2.2000000000000002</v>
      </c>
      <c r="M15" s="1">
        <f t="shared" si="9"/>
        <v>1440</v>
      </c>
      <c r="N15" s="1">
        <f t="shared" si="10"/>
        <v>800</v>
      </c>
      <c r="O15" s="1">
        <f t="shared" si="11"/>
        <v>960</v>
      </c>
      <c r="P15" s="1">
        <f t="shared" si="12"/>
        <v>960</v>
      </c>
      <c r="Q15" s="1">
        <f t="shared" si="13"/>
        <v>960</v>
      </c>
      <c r="R15" s="1">
        <f t="shared" si="14"/>
        <v>1454</v>
      </c>
      <c r="S15" s="1">
        <f t="shared" si="15"/>
        <v>1080</v>
      </c>
      <c r="T15" s="5">
        <f t="shared" si="1"/>
        <v>1558</v>
      </c>
      <c r="U15" s="2"/>
      <c r="V15" s="6">
        <v>2.2000000000000002</v>
      </c>
      <c r="W15">
        <f t="shared" si="16"/>
        <v>1.8749999999999999E-2</v>
      </c>
      <c r="X15">
        <f t="shared" si="2"/>
        <v>1.8749999999999999E-2</v>
      </c>
      <c r="Y15">
        <f t="shared" si="2"/>
        <v>1.8749999999999999E-2</v>
      </c>
      <c r="Z15">
        <f t="shared" si="2"/>
        <v>1.8749999999999999E-2</v>
      </c>
      <c r="AA15">
        <f t="shared" si="2"/>
        <v>1.8749999999999999E-2</v>
      </c>
      <c r="AB15">
        <f t="shared" si="2"/>
        <v>1.9335937500000001E-2</v>
      </c>
      <c r="AD15" s="6">
        <v>2.2000000000000002</v>
      </c>
      <c r="AE15" s="14">
        <f t="shared" si="17"/>
        <v>23.272727272727273</v>
      </c>
      <c r="AF15" s="14">
        <f t="shared" si="3"/>
        <v>23.272727272727273</v>
      </c>
      <c r="AG15" s="14">
        <f t="shared" si="3"/>
        <v>23.272727272727273</v>
      </c>
      <c r="AH15" s="14">
        <f t="shared" si="3"/>
        <v>23.272727272727273</v>
      </c>
      <c r="AI15" s="14">
        <f t="shared" si="3"/>
        <v>23.272727272727273</v>
      </c>
      <c r="AJ15" s="14">
        <f t="shared" si="3"/>
        <v>24.000000000000004</v>
      </c>
      <c r="AL15" s="6">
        <v>2.2000000000000002</v>
      </c>
      <c r="AM15">
        <f t="shared" si="19"/>
        <v>1.8749999999999999E-2</v>
      </c>
      <c r="AN15">
        <f t="shared" si="4"/>
        <v>1.8749999999999999E-2</v>
      </c>
      <c r="AO15">
        <f t="shared" si="4"/>
        <v>1.8749999999999999E-2</v>
      </c>
      <c r="AP15">
        <f t="shared" si="4"/>
        <v>1.8749999999999999E-2</v>
      </c>
      <c r="AQ15">
        <f t="shared" si="4"/>
        <v>1.8749999999999999E-2</v>
      </c>
      <c r="AR15">
        <f t="shared" si="4"/>
        <v>1.9335937500000001E-2</v>
      </c>
      <c r="AT15" s="6">
        <v>2.2000000000000002</v>
      </c>
      <c r="AU15" s="14">
        <f t="shared" si="18"/>
        <v>23.272727272727273</v>
      </c>
      <c r="AV15" s="14">
        <f t="shared" si="5"/>
        <v>23.272727272727273</v>
      </c>
      <c r="AW15" s="14">
        <f t="shared" si="6"/>
        <v>23.272727272727273</v>
      </c>
      <c r="AX15" s="14">
        <f t="shared" si="7"/>
        <v>23.272727272727273</v>
      </c>
      <c r="AY15" s="14">
        <f t="shared" si="8"/>
        <v>23.272727272727273</v>
      </c>
      <c r="AZ15" s="14">
        <f t="shared" si="20"/>
        <v>24.000000000000004</v>
      </c>
    </row>
    <row r="16" spans="1:52" x14ac:dyDescent="0.45">
      <c r="A16" s="6">
        <v>2.4</v>
      </c>
      <c r="B16" s="12">
        <v>35</v>
      </c>
      <c r="C16" s="12">
        <v>35</v>
      </c>
      <c r="D16" s="12">
        <v>35</v>
      </c>
      <c r="E16" s="12">
        <v>35</v>
      </c>
      <c r="F16" s="12">
        <v>35</v>
      </c>
      <c r="G16" s="12">
        <v>35</v>
      </c>
      <c r="H16" s="4">
        <v>31</v>
      </c>
      <c r="I16" s="4">
        <v>41</v>
      </c>
      <c r="K16" s="6">
        <v>13</v>
      </c>
      <c r="L16" s="6">
        <v>2.4</v>
      </c>
      <c r="M16" s="1">
        <f t="shared" si="9"/>
        <v>1454</v>
      </c>
      <c r="N16" s="1">
        <f t="shared" si="10"/>
        <v>875</v>
      </c>
      <c r="O16" s="1">
        <f t="shared" si="11"/>
        <v>1050</v>
      </c>
      <c r="P16" s="1">
        <f t="shared" si="12"/>
        <v>1050</v>
      </c>
      <c r="Q16" s="1">
        <f t="shared" si="13"/>
        <v>1050</v>
      </c>
      <c r="R16" s="1">
        <f t="shared" si="14"/>
        <v>1454</v>
      </c>
      <c r="S16" s="1">
        <f t="shared" si="15"/>
        <v>1116</v>
      </c>
      <c r="T16" s="5">
        <f t="shared" si="1"/>
        <v>1558</v>
      </c>
      <c r="U16" s="2"/>
      <c r="V16" s="6">
        <v>2.4</v>
      </c>
      <c r="W16">
        <f t="shared" si="16"/>
        <v>2.05078125E-2</v>
      </c>
      <c r="X16">
        <f t="shared" si="2"/>
        <v>2.05078125E-2</v>
      </c>
      <c r="Y16">
        <f t="shared" si="2"/>
        <v>2.05078125E-2</v>
      </c>
      <c r="Z16">
        <f t="shared" si="2"/>
        <v>2.05078125E-2</v>
      </c>
      <c r="AA16">
        <f t="shared" si="2"/>
        <v>2.05078125E-2</v>
      </c>
      <c r="AB16">
        <f t="shared" si="2"/>
        <v>2.05078125E-2</v>
      </c>
      <c r="AD16" s="6">
        <v>2.4</v>
      </c>
      <c r="AE16" s="14">
        <f t="shared" si="17"/>
        <v>25.454545454545457</v>
      </c>
      <c r="AF16" s="14">
        <f t="shared" si="3"/>
        <v>25.454545454545457</v>
      </c>
      <c r="AG16" s="14">
        <f t="shared" si="3"/>
        <v>25.454545454545457</v>
      </c>
      <c r="AH16" s="14">
        <f t="shared" si="3"/>
        <v>25.454545454545457</v>
      </c>
      <c r="AI16" s="14">
        <f t="shared" si="3"/>
        <v>25.454545454545457</v>
      </c>
      <c r="AJ16" s="14">
        <f t="shared" si="3"/>
        <v>25.454545454545457</v>
      </c>
      <c r="AL16" s="6">
        <v>2.4</v>
      </c>
      <c r="AM16">
        <f t="shared" si="19"/>
        <v>2.05078125E-2</v>
      </c>
      <c r="AN16">
        <f t="shared" si="4"/>
        <v>2.05078125E-2</v>
      </c>
      <c r="AO16">
        <f t="shared" si="4"/>
        <v>2.05078125E-2</v>
      </c>
      <c r="AP16">
        <f t="shared" si="4"/>
        <v>2.05078125E-2</v>
      </c>
      <c r="AQ16">
        <f t="shared" si="4"/>
        <v>2.05078125E-2</v>
      </c>
      <c r="AR16">
        <f t="shared" si="4"/>
        <v>2.05078125E-2</v>
      </c>
      <c r="AT16" s="6">
        <v>2.4</v>
      </c>
      <c r="AU16" s="14">
        <f t="shared" si="18"/>
        <v>25.454545454545457</v>
      </c>
      <c r="AV16" s="14">
        <f t="shared" si="5"/>
        <v>25.454545454545457</v>
      </c>
      <c r="AW16" s="14">
        <f t="shared" si="6"/>
        <v>25.454545454545457</v>
      </c>
      <c r="AX16" s="14">
        <f t="shared" si="7"/>
        <v>25.454545454545457</v>
      </c>
      <c r="AY16" s="14">
        <f t="shared" si="8"/>
        <v>25.454545454545457</v>
      </c>
      <c r="AZ16" s="14">
        <f t="shared" si="20"/>
        <v>25.454545454545457</v>
      </c>
    </row>
    <row r="17" spans="1:52" x14ac:dyDescent="0.45">
      <c r="A17" s="6">
        <v>2.6</v>
      </c>
      <c r="B17" s="12">
        <v>38</v>
      </c>
      <c r="C17" s="12">
        <v>38</v>
      </c>
      <c r="D17" s="12">
        <v>38</v>
      </c>
      <c r="E17" s="12">
        <v>38</v>
      </c>
      <c r="F17" s="12">
        <v>38</v>
      </c>
      <c r="G17" s="12">
        <v>38</v>
      </c>
      <c r="H17" s="4">
        <v>32</v>
      </c>
      <c r="I17" s="4">
        <v>41</v>
      </c>
      <c r="K17" s="6">
        <v>14</v>
      </c>
      <c r="L17" s="6">
        <v>2.6</v>
      </c>
      <c r="M17" s="1">
        <f t="shared" si="9"/>
        <v>1454</v>
      </c>
      <c r="N17" s="1">
        <f t="shared" si="10"/>
        <v>950</v>
      </c>
      <c r="O17" s="1">
        <f t="shared" si="11"/>
        <v>1140</v>
      </c>
      <c r="P17" s="1">
        <f t="shared" si="12"/>
        <v>1140</v>
      </c>
      <c r="Q17" s="1">
        <f t="shared" si="13"/>
        <v>1140</v>
      </c>
      <c r="R17" s="1">
        <f t="shared" si="14"/>
        <v>1454</v>
      </c>
      <c r="S17" s="1">
        <f t="shared" si="15"/>
        <v>1152</v>
      </c>
      <c r="T17" s="5">
        <f t="shared" si="1"/>
        <v>1558</v>
      </c>
      <c r="U17" s="2"/>
      <c r="V17" s="6">
        <v>2.6</v>
      </c>
      <c r="W17">
        <f t="shared" si="16"/>
        <v>2.2265625000000001E-2</v>
      </c>
      <c r="X17">
        <f t="shared" si="2"/>
        <v>2.2265625000000001E-2</v>
      </c>
      <c r="Y17">
        <f t="shared" si="2"/>
        <v>2.2265625000000001E-2</v>
      </c>
      <c r="Z17">
        <f t="shared" si="2"/>
        <v>2.2265625000000001E-2</v>
      </c>
      <c r="AA17">
        <f t="shared" si="2"/>
        <v>2.2265625000000001E-2</v>
      </c>
      <c r="AB17">
        <f t="shared" si="2"/>
        <v>2.2265625000000001E-2</v>
      </c>
      <c r="AD17" s="6">
        <v>2.6</v>
      </c>
      <c r="AE17" s="14">
        <f t="shared" si="17"/>
        <v>27.63636363636364</v>
      </c>
      <c r="AF17" s="14">
        <f t="shared" si="3"/>
        <v>27.63636363636364</v>
      </c>
      <c r="AG17" s="14">
        <f t="shared" si="3"/>
        <v>27.63636363636364</v>
      </c>
      <c r="AH17" s="14">
        <f t="shared" si="3"/>
        <v>27.63636363636364</v>
      </c>
      <c r="AI17" s="14">
        <f t="shared" si="3"/>
        <v>27.63636363636364</v>
      </c>
      <c r="AJ17" s="14">
        <f t="shared" si="3"/>
        <v>27.63636363636364</v>
      </c>
      <c r="AL17" s="6">
        <v>2.6</v>
      </c>
      <c r="AM17">
        <f t="shared" si="19"/>
        <v>2.2265625000000001E-2</v>
      </c>
      <c r="AN17">
        <f t="shared" si="4"/>
        <v>2.2265625000000001E-2</v>
      </c>
      <c r="AO17">
        <f t="shared" si="4"/>
        <v>2.2265625000000001E-2</v>
      </c>
      <c r="AP17">
        <f t="shared" si="4"/>
        <v>2.2265625000000001E-2</v>
      </c>
      <c r="AQ17">
        <f t="shared" si="4"/>
        <v>2.2265625000000001E-2</v>
      </c>
      <c r="AR17">
        <f t="shared" si="4"/>
        <v>2.2265625000000001E-2</v>
      </c>
      <c r="AT17" s="6">
        <v>2.6</v>
      </c>
      <c r="AU17" s="14">
        <f t="shared" si="18"/>
        <v>27.63636363636364</v>
      </c>
      <c r="AV17" s="14">
        <f t="shared" si="5"/>
        <v>27.63636363636364</v>
      </c>
      <c r="AW17" s="14">
        <f t="shared" si="6"/>
        <v>27.63636363636364</v>
      </c>
      <c r="AX17" s="14">
        <f t="shared" si="7"/>
        <v>27.63636363636364</v>
      </c>
      <c r="AY17" s="14">
        <f t="shared" si="8"/>
        <v>27.63636363636364</v>
      </c>
      <c r="AZ17" s="14">
        <f t="shared" si="20"/>
        <v>27.63636363636364</v>
      </c>
    </row>
    <row r="18" spans="1:52" x14ac:dyDescent="0.45">
      <c r="A18" s="6">
        <v>2.8</v>
      </c>
      <c r="B18" s="12">
        <v>41</v>
      </c>
      <c r="C18" s="12">
        <v>41</v>
      </c>
      <c r="D18" s="12">
        <v>41</v>
      </c>
      <c r="E18" s="12">
        <v>41</v>
      </c>
      <c r="F18" s="12">
        <v>41</v>
      </c>
      <c r="G18" s="12">
        <v>41</v>
      </c>
      <c r="H18" s="4">
        <v>33</v>
      </c>
      <c r="I18" s="4">
        <v>41</v>
      </c>
      <c r="K18" s="6">
        <v>15</v>
      </c>
      <c r="L18" s="6">
        <v>2.8</v>
      </c>
      <c r="M18" s="1">
        <f t="shared" si="9"/>
        <v>1454</v>
      </c>
      <c r="N18" s="1">
        <f t="shared" si="10"/>
        <v>1025</v>
      </c>
      <c r="O18" s="1">
        <f t="shared" si="11"/>
        <v>1230</v>
      </c>
      <c r="P18" s="1">
        <f t="shared" si="12"/>
        <v>1230</v>
      </c>
      <c r="Q18" s="1">
        <f t="shared" si="13"/>
        <v>1230</v>
      </c>
      <c r="R18" s="1">
        <f t="shared" si="14"/>
        <v>1454</v>
      </c>
      <c r="S18" s="1">
        <f t="shared" si="15"/>
        <v>1188</v>
      </c>
      <c r="T18" s="5">
        <f t="shared" si="1"/>
        <v>1558</v>
      </c>
      <c r="U18" s="2"/>
      <c r="V18" s="6">
        <v>2.8</v>
      </c>
      <c r="W18">
        <f t="shared" si="16"/>
        <v>2.4023437499999998E-2</v>
      </c>
      <c r="X18">
        <f t="shared" si="2"/>
        <v>2.4023437499999998E-2</v>
      </c>
      <c r="Y18">
        <f t="shared" si="2"/>
        <v>2.4023437499999998E-2</v>
      </c>
      <c r="Z18">
        <f t="shared" si="2"/>
        <v>2.4023437499999998E-2</v>
      </c>
      <c r="AA18">
        <f t="shared" si="2"/>
        <v>2.4023437499999998E-2</v>
      </c>
      <c r="AB18">
        <f t="shared" si="2"/>
        <v>2.4023437499999998E-2</v>
      </c>
      <c r="AD18" s="6">
        <v>2.8</v>
      </c>
      <c r="AE18" s="14">
        <f t="shared" si="17"/>
        <v>29.818181818181817</v>
      </c>
      <c r="AF18" s="14">
        <f t="shared" si="3"/>
        <v>29.818181818181817</v>
      </c>
      <c r="AG18" s="14">
        <f t="shared" si="3"/>
        <v>29.818181818181817</v>
      </c>
      <c r="AH18" s="14">
        <f t="shared" si="3"/>
        <v>29.818181818181817</v>
      </c>
      <c r="AI18" s="14">
        <f t="shared" si="3"/>
        <v>29.818181818181817</v>
      </c>
      <c r="AJ18" s="14">
        <f t="shared" si="3"/>
        <v>29.818181818181817</v>
      </c>
      <c r="AL18" s="6">
        <v>2.8</v>
      </c>
      <c r="AM18">
        <f t="shared" si="19"/>
        <v>2.4023437499999998E-2</v>
      </c>
      <c r="AN18">
        <f t="shared" si="4"/>
        <v>2.4023437499999998E-2</v>
      </c>
      <c r="AO18">
        <f t="shared" si="4"/>
        <v>2.4023437499999998E-2</v>
      </c>
      <c r="AP18">
        <f t="shared" si="4"/>
        <v>2.4023437499999998E-2</v>
      </c>
      <c r="AQ18">
        <f t="shared" si="4"/>
        <v>2.4023437499999998E-2</v>
      </c>
      <c r="AR18">
        <f t="shared" si="4"/>
        <v>2.4023437499999998E-2</v>
      </c>
      <c r="AT18" s="6">
        <v>2.8</v>
      </c>
      <c r="AU18" s="14">
        <f t="shared" si="18"/>
        <v>29.818181818181817</v>
      </c>
      <c r="AV18" s="14">
        <f t="shared" si="5"/>
        <v>29.818181818181817</v>
      </c>
      <c r="AW18" s="14">
        <f t="shared" si="6"/>
        <v>29.818181818181817</v>
      </c>
      <c r="AX18" s="14">
        <f t="shared" si="7"/>
        <v>29.818181818181817</v>
      </c>
      <c r="AY18" s="14">
        <f t="shared" si="8"/>
        <v>29.818181818181817</v>
      </c>
      <c r="AZ18" s="14">
        <f t="shared" si="20"/>
        <v>29.818181818181817</v>
      </c>
    </row>
    <row r="19" spans="1:52" x14ac:dyDescent="0.45">
      <c r="A19" s="6">
        <v>3</v>
      </c>
      <c r="B19" s="12">
        <v>44</v>
      </c>
      <c r="C19" s="12">
        <v>44</v>
      </c>
      <c r="D19" s="12">
        <v>44</v>
      </c>
      <c r="E19" s="12">
        <v>44</v>
      </c>
      <c r="F19" s="12">
        <v>44</v>
      </c>
      <c r="G19" s="12">
        <v>44</v>
      </c>
      <c r="H19" s="4">
        <v>34</v>
      </c>
      <c r="I19" s="4">
        <v>41</v>
      </c>
      <c r="K19" s="6">
        <v>16</v>
      </c>
      <c r="L19" s="6">
        <v>3</v>
      </c>
      <c r="M19" s="1">
        <f t="shared" si="9"/>
        <v>1454</v>
      </c>
      <c r="N19" s="1">
        <f t="shared" si="10"/>
        <v>1100</v>
      </c>
      <c r="O19" s="1">
        <f t="shared" si="11"/>
        <v>1320</v>
      </c>
      <c r="P19" s="1">
        <f t="shared" si="12"/>
        <v>1320</v>
      </c>
      <c r="Q19" s="1">
        <f t="shared" si="13"/>
        <v>1320</v>
      </c>
      <c r="R19" s="1">
        <f t="shared" si="14"/>
        <v>1454</v>
      </c>
      <c r="S19" s="1">
        <f t="shared" si="15"/>
        <v>1224</v>
      </c>
      <c r="T19" s="5">
        <f t="shared" si="1"/>
        <v>1558</v>
      </c>
      <c r="U19" s="2"/>
      <c r="V19" s="6">
        <v>3</v>
      </c>
      <c r="W19">
        <f t="shared" si="16"/>
        <v>2.5781249999999999E-2</v>
      </c>
      <c r="X19">
        <f t="shared" si="2"/>
        <v>2.5781249999999999E-2</v>
      </c>
      <c r="Y19">
        <f t="shared" si="2"/>
        <v>2.5781249999999999E-2</v>
      </c>
      <c r="Z19">
        <f t="shared" si="2"/>
        <v>2.5781249999999999E-2</v>
      </c>
      <c r="AA19">
        <f t="shared" si="2"/>
        <v>2.5781249999999999E-2</v>
      </c>
      <c r="AB19">
        <f t="shared" si="2"/>
        <v>2.5781249999999999E-2</v>
      </c>
      <c r="AD19" s="6">
        <v>3</v>
      </c>
      <c r="AE19" s="14">
        <f t="shared" si="17"/>
        <v>32</v>
      </c>
      <c r="AF19" s="14">
        <f t="shared" si="3"/>
        <v>32</v>
      </c>
      <c r="AG19" s="14">
        <f t="shared" si="3"/>
        <v>32</v>
      </c>
      <c r="AH19" s="14">
        <f t="shared" si="3"/>
        <v>32</v>
      </c>
      <c r="AI19" s="14">
        <f t="shared" si="3"/>
        <v>32</v>
      </c>
      <c r="AJ19" s="14">
        <f t="shared" si="3"/>
        <v>32</v>
      </c>
      <c r="AL19" s="6">
        <v>3</v>
      </c>
      <c r="AM19">
        <f t="shared" si="19"/>
        <v>2.5781249999999999E-2</v>
      </c>
      <c r="AN19">
        <f t="shared" si="4"/>
        <v>2.5781249999999999E-2</v>
      </c>
      <c r="AO19">
        <f t="shared" si="4"/>
        <v>2.5781249999999999E-2</v>
      </c>
      <c r="AP19">
        <f t="shared" si="4"/>
        <v>2.5781249999999999E-2</v>
      </c>
      <c r="AQ19">
        <f t="shared" si="4"/>
        <v>2.5781249999999999E-2</v>
      </c>
      <c r="AR19">
        <f t="shared" si="4"/>
        <v>2.5781249999999999E-2</v>
      </c>
      <c r="AT19" s="6">
        <v>3</v>
      </c>
      <c r="AU19" s="14">
        <f t="shared" si="18"/>
        <v>32</v>
      </c>
      <c r="AV19" s="14">
        <f t="shared" si="5"/>
        <v>32</v>
      </c>
      <c r="AW19" s="14">
        <f t="shared" si="6"/>
        <v>32</v>
      </c>
      <c r="AX19" s="14">
        <f t="shared" si="7"/>
        <v>32</v>
      </c>
      <c r="AY19" s="14">
        <f t="shared" si="8"/>
        <v>32</v>
      </c>
      <c r="AZ19" s="14">
        <f t="shared" si="20"/>
        <v>32</v>
      </c>
    </row>
    <row r="20" spans="1:52" x14ac:dyDescent="0.45">
      <c r="A20" s="6">
        <v>3.2</v>
      </c>
      <c r="B20" s="12">
        <v>47</v>
      </c>
      <c r="C20" s="12">
        <v>47</v>
      </c>
      <c r="D20" s="12">
        <v>47</v>
      </c>
      <c r="E20" s="12">
        <v>47</v>
      </c>
      <c r="F20" s="12">
        <v>47</v>
      </c>
      <c r="G20" s="12">
        <v>47</v>
      </c>
      <c r="H20" s="4">
        <v>35</v>
      </c>
      <c r="I20" s="4">
        <v>41</v>
      </c>
      <c r="K20" s="6">
        <v>17</v>
      </c>
      <c r="L20" s="6">
        <v>3.2</v>
      </c>
      <c r="M20" s="1">
        <f t="shared" si="9"/>
        <v>1454</v>
      </c>
      <c r="N20" s="1">
        <f t="shared" si="10"/>
        <v>1175</v>
      </c>
      <c r="O20" s="1">
        <f t="shared" si="11"/>
        <v>1410</v>
      </c>
      <c r="P20" s="1">
        <f t="shared" si="12"/>
        <v>1410</v>
      </c>
      <c r="Q20" s="1">
        <f t="shared" si="13"/>
        <v>1410</v>
      </c>
      <c r="R20" s="1">
        <f t="shared" si="14"/>
        <v>1454</v>
      </c>
      <c r="S20" s="1">
        <f t="shared" si="15"/>
        <v>1260</v>
      </c>
      <c r="T20" s="5">
        <f t="shared" si="1"/>
        <v>1558</v>
      </c>
      <c r="U20" s="2"/>
      <c r="V20" s="6">
        <v>3.2</v>
      </c>
      <c r="W20">
        <f>(B20*2.4)/4096</f>
        <v>2.7539062499999999E-2</v>
      </c>
      <c r="X20">
        <f t="shared" ref="X20:X63" si="21">(C20*2.4)/4096</f>
        <v>2.7539062499999999E-2</v>
      </c>
      <c r="Y20">
        <f t="shared" ref="Y20:Y63" si="22">(D20*2.4)/4096</f>
        <v>2.7539062499999999E-2</v>
      </c>
      <c r="Z20">
        <f t="shared" ref="Z20:Z63" si="23">(E20*2.4)/4096</f>
        <v>2.7539062499999999E-2</v>
      </c>
      <c r="AA20">
        <f t="shared" ref="AA20:AA63" si="24">(F20*2.4)/4096</f>
        <v>2.7539062499999999E-2</v>
      </c>
      <c r="AB20">
        <f t="shared" ref="AB20:AB63" si="25">(G20*2.4)/4096</f>
        <v>2.7539062499999999E-2</v>
      </c>
      <c r="AD20" s="6">
        <v>3.2</v>
      </c>
      <c r="AE20" s="14">
        <f>(W20*4096)/3.3</f>
        <v>34.18181818181818</v>
      </c>
      <c r="AF20" s="14">
        <f t="shared" ref="AF20:AF63" si="26">(X20*4096)/3.3</f>
        <v>34.18181818181818</v>
      </c>
      <c r="AG20" s="14">
        <f t="shared" ref="AG20:AG63" si="27">(Y20*4096)/3.3</f>
        <v>34.18181818181818</v>
      </c>
      <c r="AH20" s="14">
        <f t="shared" ref="AH20:AH63" si="28">(Z20*4096)/3.3</f>
        <v>34.18181818181818</v>
      </c>
      <c r="AI20" s="14">
        <f t="shared" ref="AI20:AJ63" si="29">(AA20*4096)/3.3</f>
        <v>34.18181818181818</v>
      </c>
      <c r="AJ20" s="14">
        <f t="shared" si="29"/>
        <v>34.18181818181818</v>
      </c>
      <c r="AL20" s="6">
        <v>3.2</v>
      </c>
      <c r="AM20">
        <f t="shared" si="19"/>
        <v>2.7539062499999996E-2</v>
      </c>
      <c r="AN20">
        <f t="shared" ref="AN20:AN63" si="30">(AF20*3.3)/4096</f>
        <v>2.7539062499999996E-2</v>
      </c>
      <c r="AO20">
        <f t="shared" ref="AO20:AO63" si="31">(AG20*3.3)/4096</f>
        <v>2.7539062499999996E-2</v>
      </c>
      <c r="AP20">
        <f t="shared" ref="AP20:AP63" si="32">(AH20*3.3)/4096</f>
        <v>2.7539062499999996E-2</v>
      </c>
      <c r="AQ20">
        <f t="shared" ref="AQ20:AQ63" si="33">(AI20*3.3)/4096</f>
        <v>2.7539062499999996E-2</v>
      </c>
      <c r="AR20">
        <f t="shared" ref="AR20:AR63" si="34">(AJ20*3.3)/4096</f>
        <v>2.7539062499999996E-2</v>
      </c>
      <c r="AT20" s="6">
        <v>3.2</v>
      </c>
      <c r="AU20" s="14">
        <f t="shared" si="18"/>
        <v>34.18181818181818</v>
      </c>
      <c r="AV20" s="14">
        <f t="shared" si="5"/>
        <v>34.18181818181818</v>
      </c>
      <c r="AW20" s="14">
        <f t="shared" si="6"/>
        <v>34.18181818181818</v>
      </c>
      <c r="AX20" s="14">
        <f t="shared" si="7"/>
        <v>34.18181818181818</v>
      </c>
      <c r="AY20" s="14">
        <f t="shared" si="8"/>
        <v>34.18181818181818</v>
      </c>
      <c r="AZ20" s="14">
        <f t="shared" si="20"/>
        <v>34.18181818181818</v>
      </c>
    </row>
    <row r="21" spans="1:52" x14ac:dyDescent="0.45">
      <c r="A21" s="6">
        <v>3.4</v>
      </c>
      <c r="B21" s="12">
        <v>49</v>
      </c>
      <c r="C21" s="12">
        <v>49</v>
      </c>
      <c r="D21" s="12">
        <v>49</v>
      </c>
      <c r="E21" s="12">
        <v>49</v>
      </c>
      <c r="F21" s="12">
        <v>49</v>
      </c>
      <c r="G21" s="12">
        <v>49</v>
      </c>
      <c r="H21" s="4">
        <v>36</v>
      </c>
      <c r="I21" s="4">
        <v>41</v>
      </c>
      <c r="K21" s="6">
        <v>18</v>
      </c>
      <c r="L21" s="6">
        <v>3.4</v>
      </c>
      <c r="M21" s="1">
        <f t="shared" si="9"/>
        <v>1454</v>
      </c>
      <c r="N21" s="1">
        <f t="shared" si="10"/>
        <v>1225</v>
      </c>
      <c r="O21" s="1">
        <f t="shared" si="11"/>
        <v>1454</v>
      </c>
      <c r="P21" s="1">
        <f t="shared" si="12"/>
        <v>1454</v>
      </c>
      <c r="Q21" s="1">
        <f t="shared" si="13"/>
        <v>1454</v>
      </c>
      <c r="R21" s="1">
        <f t="shared" si="14"/>
        <v>1454</v>
      </c>
      <c r="S21" s="1">
        <f t="shared" si="15"/>
        <v>1296</v>
      </c>
      <c r="T21" s="5">
        <f t="shared" si="1"/>
        <v>1558</v>
      </c>
      <c r="U21" s="2"/>
      <c r="V21" s="6">
        <v>3.4</v>
      </c>
      <c r="W21">
        <f t="shared" si="16"/>
        <v>2.8710937499999999E-2</v>
      </c>
      <c r="X21">
        <f t="shared" si="21"/>
        <v>2.8710937499999999E-2</v>
      </c>
      <c r="Y21">
        <f t="shared" si="22"/>
        <v>2.8710937499999999E-2</v>
      </c>
      <c r="Z21">
        <f t="shared" si="23"/>
        <v>2.8710937499999999E-2</v>
      </c>
      <c r="AA21">
        <f t="shared" si="24"/>
        <v>2.8710937499999999E-2</v>
      </c>
      <c r="AB21">
        <f t="shared" si="25"/>
        <v>2.8710937499999999E-2</v>
      </c>
      <c r="AD21" s="6">
        <v>3.4</v>
      </c>
      <c r="AE21" s="14">
        <f t="shared" si="17"/>
        <v>35.636363636363633</v>
      </c>
      <c r="AF21" s="14">
        <f t="shared" si="26"/>
        <v>35.636363636363633</v>
      </c>
      <c r="AG21" s="14">
        <f t="shared" si="27"/>
        <v>35.636363636363633</v>
      </c>
      <c r="AH21" s="14">
        <f t="shared" si="28"/>
        <v>35.636363636363633</v>
      </c>
      <c r="AI21" s="14">
        <f t="shared" si="29"/>
        <v>35.636363636363633</v>
      </c>
      <c r="AJ21" s="14">
        <f t="shared" si="29"/>
        <v>35.636363636363633</v>
      </c>
      <c r="AL21" s="6">
        <v>3.4</v>
      </c>
      <c r="AM21">
        <f t="shared" si="19"/>
        <v>2.8710937499999995E-2</v>
      </c>
      <c r="AN21">
        <f t="shared" si="30"/>
        <v>2.8710937499999995E-2</v>
      </c>
      <c r="AO21">
        <f t="shared" si="31"/>
        <v>2.8710937499999995E-2</v>
      </c>
      <c r="AP21">
        <f t="shared" si="32"/>
        <v>2.8710937499999995E-2</v>
      </c>
      <c r="AQ21">
        <f t="shared" si="33"/>
        <v>2.8710937499999995E-2</v>
      </c>
      <c r="AR21">
        <f t="shared" si="34"/>
        <v>2.8710937499999995E-2</v>
      </c>
      <c r="AT21" s="6">
        <v>3.4</v>
      </c>
      <c r="AU21" s="14">
        <f t="shared" si="18"/>
        <v>35.636363636363633</v>
      </c>
      <c r="AV21" s="14">
        <f t="shared" si="5"/>
        <v>35.636363636363633</v>
      </c>
      <c r="AW21" s="14">
        <f t="shared" si="6"/>
        <v>35.636363636363633</v>
      </c>
      <c r="AX21" s="14">
        <f t="shared" si="7"/>
        <v>35.636363636363633</v>
      </c>
      <c r="AY21" s="14">
        <f t="shared" si="8"/>
        <v>35.636363636363633</v>
      </c>
      <c r="AZ21" s="14">
        <f t="shared" si="20"/>
        <v>35.636363636363633</v>
      </c>
    </row>
    <row r="22" spans="1:52" x14ac:dyDescent="0.45">
      <c r="A22" s="6">
        <v>3.6</v>
      </c>
      <c r="B22" s="12">
        <v>52</v>
      </c>
      <c r="C22" s="12">
        <v>52</v>
      </c>
      <c r="D22" s="12">
        <v>52</v>
      </c>
      <c r="E22" s="12">
        <v>52</v>
      </c>
      <c r="F22" s="12">
        <v>52</v>
      </c>
      <c r="G22" s="12">
        <v>52</v>
      </c>
      <c r="H22" s="4">
        <v>37</v>
      </c>
      <c r="I22" s="4">
        <v>41</v>
      </c>
      <c r="K22" s="6">
        <v>19</v>
      </c>
      <c r="L22" s="6">
        <v>3.6</v>
      </c>
      <c r="M22" s="1">
        <f t="shared" si="9"/>
        <v>1454</v>
      </c>
      <c r="N22" s="1">
        <f t="shared" si="10"/>
        <v>1300</v>
      </c>
      <c r="O22" s="1">
        <f t="shared" si="11"/>
        <v>1454</v>
      </c>
      <c r="P22" s="1">
        <f t="shared" si="12"/>
        <v>1454</v>
      </c>
      <c r="Q22" s="1">
        <f t="shared" si="13"/>
        <v>1454</v>
      </c>
      <c r="R22" s="1">
        <f t="shared" si="14"/>
        <v>1454</v>
      </c>
      <c r="S22" s="1">
        <f t="shared" si="15"/>
        <v>1332</v>
      </c>
      <c r="T22" s="5">
        <f t="shared" si="1"/>
        <v>1558</v>
      </c>
      <c r="U22" s="2"/>
      <c r="V22" s="6">
        <v>3.6</v>
      </c>
      <c r="W22">
        <f t="shared" si="16"/>
        <v>3.0468749999999999E-2</v>
      </c>
      <c r="X22">
        <f t="shared" si="21"/>
        <v>3.0468749999999999E-2</v>
      </c>
      <c r="Y22">
        <f t="shared" si="22"/>
        <v>3.0468749999999999E-2</v>
      </c>
      <c r="Z22">
        <f t="shared" si="23"/>
        <v>3.0468749999999999E-2</v>
      </c>
      <c r="AA22">
        <f t="shared" si="24"/>
        <v>3.0468749999999999E-2</v>
      </c>
      <c r="AB22">
        <f t="shared" si="25"/>
        <v>3.0468749999999999E-2</v>
      </c>
      <c r="AD22" s="6">
        <v>3.6</v>
      </c>
      <c r="AE22" s="14">
        <f t="shared" si="17"/>
        <v>37.81818181818182</v>
      </c>
      <c r="AF22" s="14">
        <f t="shared" si="26"/>
        <v>37.81818181818182</v>
      </c>
      <c r="AG22" s="14">
        <f t="shared" si="27"/>
        <v>37.81818181818182</v>
      </c>
      <c r="AH22" s="14">
        <f t="shared" si="28"/>
        <v>37.81818181818182</v>
      </c>
      <c r="AI22" s="14">
        <f t="shared" si="29"/>
        <v>37.81818181818182</v>
      </c>
      <c r="AJ22" s="14">
        <f t="shared" si="29"/>
        <v>37.81818181818182</v>
      </c>
      <c r="AL22" s="6">
        <v>3.6</v>
      </c>
      <c r="AM22">
        <f t="shared" si="19"/>
        <v>3.0468749999999999E-2</v>
      </c>
      <c r="AN22">
        <f t="shared" si="30"/>
        <v>3.0468749999999999E-2</v>
      </c>
      <c r="AO22">
        <f t="shared" si="31"/>
        <v>3.0468749999999999E-2</v>
      </c>
      <c r="AP22">
        <f t="shared" si="32"/>
        <v>3.0468749999999999E-2</v>
      </c>
      <c r="AQ22">
        <f t="shared" si="33"/>
        <v>3.0468749999999999E-2</v>
      </c>
      <c r="AR22">
        <f t="shared" si="34"/>
        <v>3.0468749999999999E-2</v>
      </c>
      <c r="AT22" s="6">
        <v>3.6</v>
      </c>
      <c r="AU22" s="14">
        <f t="shared" si="18"/>
        <v>37.81818181818182</v>
      </c>
      <c r="AV22" s="14">
        <f t="shared" si="5"/>
        <v>37.81818181818182</v>
      </c>
      <c r="AW22" s="14">
        <f t="shared" si="6"/>
        <v>37.81818181818182</v>
      </c>
      <c r="AX22" s="14">
        <f t="shared" si="7"/>
        <v>37.81818181818182</v>
      </c>
      <c r="AY22" s="14">
        <f t="shared" si="8"/>
        <v>37.81818181818182</v>
      </c>
      <c r="AZ22" s="14">
        <f t="shared" si="20"/>
        <v>37.81818181818182</v>
      </c>
    </row>
    <row r="23" spans="1:52" x14ac:dyDescent="0.45">
      <c r="A23" s="6">
        <v>3.8</v>
      </c>
      <c r="B23" s="12">
        <v>55</v>
      </c>
      <c r="C23" s="12">
        <v>55</v>
      </c>
      <c r="D23" s="12">
        <v>55</v>
      </c>
      <c r="E23" s="12">
        <v>55</v>
      </c>
      <c r="F23" s="12">
        <v>55</v>
      </c>
      <c r="G23" s="12">
        <v>55</v>
      </c>
      <c r="H23" s="4">
        <v>37</v>
      </c>
      <c r="I23" s="4">
        <v>41</v>
      </c>
      <c r="K23" s="6">
        <v>20</v>
      </c>
      <c r="L23" s="6">
        <v>3.8</v>
      </c>
      <c r="M23" s="1">
        <f t="shared" si="9"/>
        <v>1454</v>
      </c>
      <c r="N23" s="1">
        <f t="shared" si="10"/>
        <v>1375</v>
      </c>
      <c r="O23" s="1">
        <f t="shared" si="11"/>
        <v>1454</v>
      </c>
      <c r="P23" s="1">
        <f t="shared" si="12"/>
        <v>1454</v>
      </c>
      <c r="Q23" s="1">
        <f t="shared" si="13"/>
        <v>1454</v>
      </c>
      <c r="R23" s="1">
        <f t="shared" si="14"/>
        <v>1454</v>
      </c>
      <c r="S23" s="1">
        <f t="shared" si="15"/>
        <v>1332</v>
      </c>
      <c r="T23" s="5">
        <f t="shared" si="1"/>
        <v>1558</v>
      </c>
      <c r="U23" s="2"/>
      <c r="V23" s="6">
        <v>3.8</v>
      </c>
      <c r="W23">
        <f t="shared" si="16"/>
        <v>3.22265625E-2</v>
      </c>
      <c r="X23">
        <f t="shared" si="21"/>
        <v>3.22265625E-2</v>
      </c>
      <c r="Y23">
        <f t="shared" si="22"/>
        <v>3.22265625E-2</v>
      </c>
      <c r="Z23">
        <f t="shared" si="23"/>
        <v>3.22265625E-2</v>
      </c>
      <c r="AA23">
        <f t="shared" si="24"/>
        <v>3.22265625E-2</v>
      </c>
      <c r="AB23">
        <f t="shared" si="25"/>
        <v>3.22265625E-2</v>
      </c>
      <c r="AD23" s="6">
        <v>3.8</v>
      </c>
      <c r="AE23" s="14">
        <f t="shared" si="17"/>
        <v>40</v>
      </c>
      <c r="AF23" s="14">
        <f t="shared" si="26"/>
        <v>40</v>
      </c>
      <c r="AG23" s="14">
        <f t="shared" si="27"/>
        <v>40</v>
      </c>
      <c r="AH23" s="14">
        <f t="shared" si="28"/>
        <v>40</v>
      </c>
      <c r="AI23" s="14">
        <f t="shared" si="29"/>
        <v>40</v>
      </c>
      <c r="AJ23" s="14">
        <f t="shared" si="29"/>
        <v>40</v>
      </c>
      <c r="AL23" s="6">
        <v>3.8</v>
      </c>
      <c r="AM23">
        <f t="shared" si="19"/>
        <v>3.22265625E-2</v>
      </c>
      <c r="AN23">
        <f t="shared" si="30"/>
        <v>3.22265625E-2</v>
      </c>
      <c r="AO23">
        <f t="shared" si="31"/>
        <v>3.22265625E-2</v>
      </c>
      <c r="AP23">
        <f t="shared" si="32"/>
        <v>3.22265625E-2</v>
      </c>
      <c r="AQ23">
        <f t="shared" si="33"/>
        <v>3.22265625E-2</v>
      </c>
      <c r="AR23">
        <f t="shared" si="34"/>
        <v>3.22265625E-2</v>
      </c>
      <c r="AT23" s="6">
        <v>3.8</v>
      </c>
      <c r="AU23" s="14">
        <f t="shared" si="18"/>
        <v>40</v>
      </c>
      <c r="AV23" s="14">
        <f t="shared" si="5"/>
        <v>40</v>
      </c>
      <c r="AW23" s="14">
        <f t="shared" si="6"/>
        <v>40</v>
      </c>
      <c r="AX23" s="14">
        <f t="shared" si="7"/>
        <v>40</v>
      </c>
      <c r="AY23" s="14">
        <f t="shared" si="8"/>
        <v>40</v>
      </c>
      <c r="AZ23" s="14">
        <f t="shared" si="20"/>
        <v>40</v>
      </c>
    </row>
    <row r="24" spans="1:52" x14ac:dyDescent="0.45">
      <c r="A24" s="6">
        <v>4</v>
      </c>
      <c r="B24" s="12">
        <v>58</v>
      </c>
      <c r="C24" s="12">
        <v>58</v>
      </c>
      <c r="D24" s="12">
        <v>58</v>
      </c>
      <c r="E24" s="12">
        <v>58</v>
      </c>
      <c r="F24" s="12">
        <v>58</v>
      </c>
      <c r="G24" s="12">
        <v>58</v>
      </c>
      <c r="H24" s="4">
        <v>38</v>
      </c>
      <c r="I24" s="4">
        <v>42</v>
      </c>
      <c r="K24" s="6">
        <v>21</v>
      </c>
      <c r="L24" s="6">
        <v>4</v>
      </c>
      <c r="M24" s="1">
        <f t="shared" si="9"/>
        <v>1454</v>
      </c>
      <c r="N24" s="1">
        <f t="shared" si="10"/>
        <v>1450</v>
      </c>
      <c r="O24" s="1">
        <f t="shared" si="11"/>
        <v>1454</v>
      </c>
      <c r="P24" s="1">
        <f t="shared" si="12"/>
        <v>1454</v>
      </c>
      <c r="Q24" s="1">
        <f t="shared" si="13"/>
        <v>1454</v>
      </c>
      <c r="R24" s="1">
        <f t="shared" si="14"/>
        <v>1454</v>
      </c>
      <c r="S24" s="1">
        <f t="shared" si="15"/>
        <v>1368</v>
      </c>
      <c r="T24" s="5">
        <f t="shared" si="1"/>
        <v>1596</v>
      </c>
      <c r="U24" s="2"/>
      <c r="V24" s="6">
        <v>4</v>
      </c>
      <c r="W24">
        <f t="shared" si="16"/>
        <v>3.3984374999999997E-2</v>
      </c>
      <c r="X24">
        <f t="shared" si="21"/>
        <v>3.3984374999999997E-2</v>
      </c>
      <c r="Y24">
        <f t="shared" si="22"/>
        <v>3.3984374999999997E-2</v>
      </c>
      <c r="Z24">
        <f t="shared" si="23"/>
        <v>3.3984374999999997E-2</v>
      </c>
      <c r="AA24">
        <f t="shared" si="24"/>
        <v>3.3984374999999997E-2</v>
      </c>
      <c r="AB24">
        <f t="shared" si="25"/>
        <v>3.3984374999999997E-2</v>
      </c>
      <c r="AD24" s="6">
        <v>4</v>
      </c>
      <c r="AE24" s="14">
        <f t="shared" si="17"/>
        <v>42.18181818181818</v>
      </c>
      <c r="AF24" s="14">
        <f t="shared" si="26"/>
        <v>42.18181818181818</v>
      </c>
      <c r="AG24" s="14">
        <f t="shared" si="27"/>
        <v>42.18181818181818</v>
      </c>
      <c r="AH24" s="14">
        <f t="shared" si="28"/>
        <v>42.18181818181818</v>
      </c>
      <c r="AI24" s="14">
        <f t="shared" si="29"/>
        <v>42.18181818181818</v>
      </c>
      <c r="AJ24" s="14">
        <f t="shared" si="29"/>
        <v>42.18181818181818</v>
      </c>
      <c r="AL24" s="6">
        <v>4</v>
      </c>
      <c r="AM24">
        <f t="shared" si="19"/>
        <v>3.3984374999999997E-2</v>
      </c>
      <c r="AN24">
        <f t="shared" si="30"/>
        <v>3.3984374999999997E-2</v>
      </c>
      <c r="AO24">
        <f t="shared" si="31"/>
        <v>3.3984374999999997E-2</v>
      </c>
      <c r="AP24">
        <f t="shared" si="32"/>
        <v>3.3984374999999997E-2</v>
      </c>
      <c r="AQ24">
        <f t="shared" si="33"/>
        <v>3.3984374999999997E-2</v>
      </c>
      <c r="AR24">
        <f t="shared" si="34"/>
        <v>3.3984374999999997E-2</v>
      </c>
      <c r="AT24" s="6">
        <v>4</v>
      </c>
      <c r="AU24" s="14">
        <f t="shared" si="18"/>
        <v>42.18181818181818</v>
      </c>
      <c r="AV24" s="14">
        <f t="shared" si="5"/>
        <v>42.18181818181818</v>
      </c>
      <c r="AW24" s="14">
        <f t="shared" si="6"/>
        <v>42.18181818181818</v>
      </c>
      <c r="AX24" s="14">
        <f t="shared" si="7"/>
        <v>42.18181818181818</v>
      </c>
      <c r="AY24" s="14">
        <f t="shared" si="8"/>
        <v>42.18181818181818</v>
      </c>
      <c r="AZ24" s="14">
        <f t="shared" si="20"/>
        <v>42.18181818181818</v>
      </c>
    </row>
    <row r="25" spans="1:52" x14ac:dyDescent="0.45">
      <c r="A25" s="6">
        <v>4.2</v>
      </c>
      <c r="B25" s="12">
        <v>61</v>
      </c>
      <c r="C25" s="12">
        <v>61</v>
      </c>
      <c r="D25" s="12">
        <v>61</v>
      </c>
      <c r="E25" s="12">
        <v>61</v>
      </c>
      <c r="F25" s="12">
        <v>61</v>
      </c>
      <c r="G25" s="12">
        <v>61</v>
      </c>
      <c r="H25" s="4">
        <v>38</v>
      </c>
      <c r="I25" s="8">
        <v>51</v>
      </c>
      <c r="K25" s="6">
        <v>22</v>
      </c>
      <c r="L25" s="6">
        <v>4.2</v>
      </c>
      <c r="M25" s="1">
        <f t="shared" si="9"/>
        <v>1454</v>
      </c>
      <c r="N25" s="1">
        <f t="shared" si="10"/>
        <v>1454</v>
      </c>
      <c r="O25" s="1">
        <f t="shared" si="11"/>
        <v>1454</v>
      </c>
      <c r="P25" s="1">
        <f t="shared" si="12"/>
        <v>1454</v>
      </c>
      <c r="Q25" s="1">
        <f t="shared" si="13"/>
        <v>1454</v>
      </c>
      <c r="R25" s="1">
        <f t="shared" si="14"/>
        <v>1454</v>
      </c>
      <c r="S25" s="1">
        <f t="shared" si="15"/>
        <v>1368</v>
      </c>
      <c r="T25" s="5">
        <f t="shared" si="1"/>
        <v>1938</v>
      </c>
      <c r="U25" s="2"/>
      <c r="V25" s="6">
        <v>4.2</v>
      </c>
      <c r="W25">
        <f t="shared" si="16"/>
        <v>3.5742187500000001E-2</v>
      </c>
      <c r="X25">
        <f t="shared" si="21"/>
        <v>3.5742187500000001E-2</v>
      </c>
      <c r="Y25">
        <f t="shared" si="22"/>
        <v>3.5742187500000001E-2</v>
      </c>
      <c r="Z25">
        <f t="shared" si="23"/>
        <v>3.5742187500000001E-2</v>
      </c>
      <c r="AA25">
        <f t="shared" si="24"/>
        <v>3.5742187500000001E-2</v>
      </c>
      <c r="AB25">
        <f t="shared" si="25"/>
        <v>3.5742187500000001E-2</v>
      </c>
      <c r="AD25" s="6">
        <v>4.2</v>
      </c>
      <c r="AE25" s="14">
        <f t="shared" si="17"/>
        <v>44.363636363636367</v>
      </c>
      <c r="AF25" s="14">
        <f t="shared" si="26"/>
        <v>44.363636363636367</v>
      </c>
      <c r="AG25" s="14">
        <f t="shared" si="27"/>
        <v>44.363636363636367</v>
      </c>
      <c r="AH25" s="14">
        <f t="shared" si="28"/>
        <v>44.363636363636367</v>
      </c>
      <c r="AI25" s="14">
        <f t="shared" si="29"/>
        <v>44.363636363636367</v>
      </c>
      <c r="AJ25" s="14">
        <f t="shared" si="29"/>
        <v>44.363636363636367</v>
      </c>
      <c r="AL25" s="6">
        <v>4.2</v>
      </c>
      <c r="AM25">
        <f t="shared" si="19"/>
        <v>3.5742187500000001E-2</v>
      </c>
      <c r="AN25">
        <f t="shared" si="30"/>
        <v>3.5742187500000001E-2</v>
      </c>
      <c r="AO25">
        <f t="shared" si="31"/>
        <v>3.5742187500000001E-2</v>
      </c>
      <c r="AP25">
        <f t="shared" si="32"/>
        <v>3.5742187500000001E-2</v>
      </c>
      <c r="AQ25">
        <f t="shared" si="33"/>
        <v>3.5742187500000001E-2</v>
      </c>
      <c r="AR25">
        <f t="shared" si="34"/>
        <v>3.5742187500000001E-2</v>
      </c>
      <c r="AT25" s="6">
        <v>4.2</v>
      </c>
      <c r="AU25" s="14">
        <f t="shared" si="18"/>
        <v>44.363636363636367</v>
      </c>
      <c r="AV25" s="14">
        <f t="shared" si="5"/>
        <v>44.363636363636367</v>
      </c>
      <c r="AW25" s="14">
        <f t="shared" si="6"/>
        <v>44.363636363636367</v>
      </c>
      <c r="AX25" s="14">
        <f t="shared" si="7"/>
        <v>44.363636363636367</v>
      </c>
      <c r="AY25" s="14">
        <f t="shared" si="8"/>
        <v>44.363636363636367</v>
      </c>
      <c r="AZ25" s="14">
        <f t="shared" si="20"/>
        <v>44.363636363636367</v>
      </c>
    </row>
    <row r="26" spans="1:52" x14ac:dyDescent="0.45">
      <c r="A26" s="6">
        <v>4.4000000000000004</v>
      </c>
      <c r="B26" s="12">
        <v>64</v>
      </c>
      <c r="C26" s="12">
        <v>64</v>
      </c>
      <c r="D26" s="12">
        <v>64</v>
      </c>
      <c r="E26" s="12">
        <v>64</v>
      </c>
      <c r="F26" s="12">
        <v>64</v>
      </c>
      <c r="G26" s="12">
        <v>64</v>
      </c>
      <c r="H26" s="4">
        <v>39</v>
      </c>
      <c r="I26" s="8">
        <v>54</v>
      </c>
      <c r="K26" s="6">
        <v>23</v>
      </c>
      <c r="L26" s="6">
        <v>4.4000000000000004</v>
      </c>
      <c r="M26" s="1">
        <f t="shared" si="9"/>
        <v>1454</v>
      </c>
      <c r="N26" s="1">
        <f t="shared" si="10"/>
        <v>1454</v>
      </c>
      <c r="O26" s="1">
        <f t="shared" si="11"/>
        <v>1454</v>
      </c>
      <c r="P26" s="1">
        <f t="shared" si="12"/>
        <v>1454</v>
      </c>
      <c r="Q26" s="1">
        <f t="shared" si="13"/>
        <v>1454</v>
      </c>
      <c r="R26" s="1">
        <f t="shared" si="14"/>
        <v>1454</v>
      </c>
      <c r="S26" s="1">
        <f t="shared" si="15"/>
        <v>1404</v>
      </c>
      <c r="T26" s="5">
        <f t="shared" si="1"/>
        <v>2000</v>
      </c>
      <c r="U26" s="2"/>
      <c r="V26" s="6">
        <v>4.4000000000000004</v>
      </c>
      <c r="W26">
        <f t="shared" si="16"/>
        <v>3.7499999999999999E-2</v>
      </c>
      <c r="X26">
        <f t="shared" si="21"/>
        <v>3.7499999999999999E-2</v>
      </c>
      <c r="Y26">
        <f t="shared" si="22"/>
        <v>3.7499999999999999E-2</v>
      </c>
      <c r="Z26">
        <f t="shared" si="23"/>
        <v>3.7499999999999999E-2</v>
      </c>
      <c r="AA26">
        <f t="shared" si="24"/>
        <v>3.7499999999999999E-2</v>
      </c>
      <c r="AB26">
        <f t="shared" si="25"/>
        <v>3.7499999999999999E-2</v>
      </c>
      <c r="AD26" s="6">
        <v>4.4000000000000004</v>
      </c>
      <c r="AE26" s="14">
        <f t="shared" si="17"/>
        <v>46.545454545454547</v>
      </c>
      <c r="AF26" s="14">
        <f t="shared" si="26"/>
        <v>46.545454545454547</v>
      </c>
      <c r="AG26" s="14">
        <f t="shared" si="27"/>
        <v>46.545454545454547</v>
      </c>
      <c r="AH26" s="14">
        <f t="shared" si="28"/>
        <v>46.545454545454547</v>
      </c>
      <c r="AI26" s="14">
        <f t="shared" si="29"/>
        <v>46.545454545454547</v>
      </c>
      <c r="AJ26" s="14">
        <f t="shared" si="29"/>
        <v>46.545454545454547</v>
      </c>
      <c r="AL26" s="6">
        <v>4.4000000000000004</v>
      </c>
      <c r="AM26">
        <f t="shared" si="19"/>
        <v>3.7499999999999999E-2</v>
      </c>
      <c r="AN26">
        <f t="shared" si="30"/>
        <v>3.7499999999999999E-2</v>
      </c>
      <c r="AO26">
        <f t="shared" si="31"/>
        <v>3.7499999999999999E-2</v>
      </c>
      <c r="AP26">
        <f t="shared" si="32"/>
        <v>3.7499999999999999E-2</v>
      </c>
      <c r="AQ26">
        <f t="shared" si="33"/>
        <v>3.7499999999999999E-2</v>
      </c>
      <c r="AR26">
        <f t="shared" si="34"/>
        <v>3.7499999999999999E-2</v>
      </c>
      <c r="AT26" s="6">
        <v>4.4000000000000004</v>
      </c>
      <c r="AU26" s="14">
        <f t="shared" si="18"/>
        <v>46.545454545454547</v>
      </c>
      <c r="AV26" s="14">
        <f t="shared" si="5"/>
        <v>46.545454545454547</v>
      </c>
      <c r="AW26" s="14">
        <f t="shared" si="6"/>
        <v>46.545454545454547</v>
      </c>
      <c r="AX26" s="14">
        <f t="shared" si="7"/>
        <v>46.545454545454547</v>
      </c>
      <c r="AY26" s="14">
        <f t="shared" si="8"/>
        <v>46.545454545454547</v>
      </c>
      <c r="AZ26" s="14">
        <f t="shared" si="20"/>
        <v>46.545454545454547</v>
      </c>
    </row>
    <row r="27" spans="1:52" x14ac:dyDescent="0.45">
      <c r="A27" s="6">
        <v>4.5999999999999996</v>
      </c>
      <c r="B27" s="12">
        <v>67</v>
      </c>
      <c r="C27" s="12">
        <v>67</v>
      </c>
      <c r="D27" s="12">
        <v>67</v>
      </c>
      <c r="E27" s="12">
        <v>67</v>
      </c>
      <c r="F27" s="12">
        <v>67</v>
      </c>
      <c r="G27" s="12">
        <v>67</v>
      </c>
      <c r="H27" s="4">
        <v>40</v>
      </c>
      <c r="I27" s="8">
        <v>56</v>
      </c>
      <c r="K27" s="6">
        <v>24</v>
      </c>
      <c r="L27" s="6">
        <v>4.5999999999999996</v>
      </c>
      <c r="M27" s="1">
        <f t="shared" si="9"/>
        <v>1454</v>
      </c>
      <c r="N27" s="1">
        <f t="shared" si="10"/>
        <v>1454</v>
      </c>
      <c r="O27" s="1">
        <f t="shared" si="11"/>
        <v>1454</v>
      </c>
      <c r="P27" s="1">
        <f t="shared" si="12"/>
        <v>1454</v>
      </c>
      <c r="Q27" s="1">
        <f t="shared" si="13"/>
        <v>1454</v>
      </c>
      <c r="R27" s="1">
        <f t="shared" si="14"/>
        <v>1454</v>
      </c>
      <c r="S27" s="1">
        <f t="shared" si="15"/>
        <v>1440</v>
      </c>
      <c r="T27" s="5">
        <f t="shared" si="1"/>
        <v>2000</v>
      </c>
      <c r="U27" s="2"/>
      <c r="V27" s="6">
        <v>4.5999999999999996</v>
      </c>
      <c r="W27">
        <f t="shared" si="16"/>
        <v>3.9257812499999996E-2</v>
      </c>
      <c r="X27">
        <f t="shared" si="21"/>
        <v>3.9257812499999996E-2</v>
      </c>
      <c r="Y27">
        <f t="shared" si="22"/>
        <v>3.9257812499999996E-2</v>
      </c>
      <c r="Z27">
        <f t="shared" si="23"/>
        <v>3.9257812499999996E-2</v>
      </c>
      <c r="AA27">
        <f t="shared" si="24"/>
        <v>3.9257812499999996E-2</v>
      </c>
      <c r="AB27">
        <f t="shared" si="25"/>
        <v>3.9257812499999996E-2</v>
      </c>
      <c r="AD27" s="6">
        <v>4.5999999999999996</v>
      </c>
      <c r="AE27" s="14">
        <f t="shared" si="17"/>
        <v>48.727272727272727</v>
      </c>
      <c r="AF27" s="14">
        <f t="shared" si="26"/>
        <v>48.727272727272727</v>
      </c>
      <c r="AG27" s="14">
        <f t="shared" si="27"/>
        <v>48.727272727272727</v>
      </c>
      <c r="AH27" s="14">
        <f t="shared" si="28"/>
        <v>48.727272727272727</v>
      </c>
      <c r="AI27" s="14">
        <f t="shared" si="29"/>
        <v>48.727272727272727</v>
      </c>
      <c r="AJ27" s="14">
        <f t="shared" si="29"/>
        <v>48.727272727272727</v>
      </c>
      <c r="AL27" s="6">
        <v>4.5999999999999996</v>
      </c>
      <c r="AM27">
        <f t="shared" si="19"/>
        <v>3.9257812499999996E-2</v>
      </c>
      <c r="AN27">
        <f t="shared" si="30"/>
        <v>3.9257812499999996E-2</v>
      </c>
      <c r="AO27">
        <f t="shared" si="31"/>
        <v>3.9257812499999996E-2</v>
      </c>
      <c r="AP27">
        <f t="shared" si="32"/>
        <v>3.9257812499999996E-2</v>
      </c>
      <c r="AQ27">
        <f t="shared" si="33"/>
        <v>3.9257812499999996E-2</v>
      </c>
      <c r="AR27">
        <f t="shared" si="34"/>
        <v>3.9257812499999996E-2</v>
      </c>
      <c r="AT27" s="6">
        <v>4.5999999999999996</v>
      </c>
      <c r="AU27" s="14">
        <f t="shared" si="18"/>
        <v>48.727272727272727</v>
      </c>
      <c r="AV27" s="14">
        <f t="shared" si="5"/>
        <v>48.727272727272727</v>
      </c>
      <c r="AW27" s="14">
        <f t="shared" si="6"/>
        <v>48.727272727272727</v>
      </c>
      <c r="AX27" s="14">
        <f t="shared" si="7"/>
        <v>48.727272727272727</v>
      </c>
      <c r="AY27" s="14">
        <f t="shared" si="8"/>
        <v>48.727272727272727</v>
      </c>
      <c r="AZ27" s="14">
        <f t="shared" si="20"/>
        <v>48.727272727272727</v>
      </c>
    </row>
    <row r="28" spans="1:52" x14ac:dyDescent="0.45">
      <c r="A28" s="6">
        <v>4.8</v>
      </c>
      <c r="B28" s="12">
        <v>70</v>
      </c>
      <c r="C28" s="12">
        <v>70</v>
      </c>
      <c r="D28" s="12">
        <v>70</v>
      </c>
      <c r="E28" s="12">
        <v>70</v>
      </c>
      <c r="F28" s="12">
        <v>70</v>
      </c>
      <c r="G28" s="12">
        <v>70</v>
      </c>
      <c r="H28" s="4">
        <v>40</v>
      </c>
      <c r="I28" s="8">
        <v>57</v>
      </c>
      <c r="K28" s="6">
        <v>25</v>
      </c>
      <c r="L28" s="6">
        <v>4.8</v>
      </c>
      <c r="M28" s="1">
        <f t="shared" si="9"/>
        <v>1454</v>
      </c>
      <c r="N28" s="1">
        <f t="shared" si="10"/>
        <v>1454</v>
      </c>
      <c r="O28" s="1">
        <f t="shared" si="11"/>
        <v>1454</v>
      </c>
      <c r="P28" s="1">
        <f t="shared" si="12"/>
        <v>1454</v>
      </c>
      <c r="Q28" s="1">
        <f t="shared" si="13"/>
        <v>1454</v>
      </c>
      <c r="R28" s="1">
        <f t="shared" si="14"/>
        <v>1454</v>
      </c>
      <c r="S28" s="1">
        <f t="shared" si="15"/>
        <v>1440</v>
      </c>
      <c r="T28" s="5">
        <f t="shared" si="1"/>
        <v>2000</v>
      </c>
      <c r="U28" s="2"/>
      <c r="V28" s="6">
        <v>4.8</v>
      </c>
      <c r="W28">
        <f t="shared" si="16"/>
        <v>4.1015625E-2</v>
      </c>
      <c r="X28">
        <f t="shared" si="21"/>
        <v>4.1015625E-2</v>
      </c>
      <c r="Y28">
        <f t="shared" si="22"/>
        <v>4.1015625E-2</v>
      </c>
      <c r="Z28">
        <f t="shared" si="23"/>
        <v>4.1015625E-2</v>
      </c>
      <c r="AA28">
        <f t="shared" si="24"/>
        <v>4.1015625E-2</v>
      </c>
      <c r="AB28">
        <f t="shared" si="25"/>
        <v>4.1015625E-2</v>
      </c>
      <c r="AD28" s="6">
        <v>4.8</v>
      </c>
      <c r="AE28" s="14">
        <f t="shared" si="17"/>
        <v>50.909090909090914</v>
      </c>
      <c r="AF28" s="14">
        <f t="shared" si="26"/>
        <v>50.909090909090914</v>
      </c>
      <c r="AG28" s="14">
        <f t="shared" si="27"/>
        <v>50.909090909090914</v>
      </c>
      <c r="AH28" s="14">
        <f t="shared" si="28"/>
        <v>50.909090909090914</v>
      </c>
      <c r="AI28" s="14">
        <f t="shared" si="29"/>
        <v>50.909090909090914</v>
      </c>
      <c r="AJ28" s="14">
        <f t="shared" si="29"/>
        <v>50.909090909090914</v>
      </c>
      <c r="AL28" s="6">
        <v>4.8</v>
      </c>
      <c r="AM28">
        <f t="shared" si="19"/>
        <v>4.1015625E-2</v>
      </c>
      <c r="AN28">
        <f t="shared" si="30"/>
        <v>4.1015625E-2</v>
      </c>
      <c r="AO28">
        <f t="shared" si="31"/>
        <v>4.1015625E-2</v>
      </c>
      <c r="AP28">
        <f t="shared" si="32"/>
        <v>4.1015625E-2</v>
      </c>
      <c r="AQ28">
        <f t="shared" si="33"/>
        <v>4.1015625E-2</v>
      </c>
      <c r="AR28">
        <f t="shared" si="34"/>
        <v>4.1015625E-2</v>
      </c>
      <c r="AT28" s="6">
        <v>4.8</v>
      </c>
      <c r="AU28" s="14">
        <f t="shared" si="18"/>
        <v>50.909090909090914</v>
      </c>
      <c r="AV28" s="14">
        <f t="shared" si="5"/>
        <v>50.909090909090914</v>
      </c>
      <c r="AW28" s="14">
        <f t="shared" si="6"/>
        <v>50.909090909090914</v>
      </c>
      <c r="AX28" s="14">
        <f t="shared" si="7"/>
        <v>50.909090909090914</v>
      </c>
      <c r="AY28" s="14">
        <f t="shared" si="8"/>
        <v>50.909090909090914</v>
      </c>
      <c r="AZ28" s="14">
        <f t="shared" si="20"/>
        <v>50.909090909090914</v>
      </c>
    </row>
    <row r="29" spans="1:52" x14ac:dyDescent="0.45">
      <c r="A29" s="6">
        <v>5</v>
      </c>
      <c r="B29" s="12">
        <v>73</v>
      </c>
      <c r="C29" s="12">
        <v>73</v>
      </c>
      <c r="D29" s="12">
        <v>73</v>
      </c>
      <c r="E29" s="12">
        <v>73</v>
      </c>
      <c r="F29" s="12">
        <v>73</v>
      </c>
      <c r="G29" s="12">
        <v>73</v>
      </c>
      <c r="H29" s="4">
        <v>40</v>
      </c>
      <c r="I29" s="8">
        <v>58</v>
      </c>
      <c r="K29" s="6">
        <v>26</v>
      </c>
      <c r="L29" s="6">
        <v>5</v>
      </c>
      <c r="M29" s="1">
        <f t="shared" si="9"/>
        <v>1454</v>
      </c>
      <c r="N29" s="1">
        <f t="shared" si="10"/>
        <v>1454</v>
      </c>
      <c r="O29" s="1">
        <f t="shared" si="11"/>
        <v>1454</v>
      </c>
      <c r="P29" s="1">
        <f t="shared" si="12"/>
        <v>1454</v>
      </c>
      <c r="Q29" s="1">
        <f t="shared" si="13"/>
        <v>1454</v>
      </c>
      <c r="R29" s="1">
        <f t="shared" si="14"/>
        <v>1454</v>
      </c>
      <c r="S29" s="1">
        <f t="shared" si="15"/>
        <v>1440</v>
      </c>
      <c r="T29" s="5">
        <f t="shared" si="1"/>
        <v>2000</v>
      </c>
      <c r="U29" s="2"/>
      <c r="V29" s="6">
        <v>5</v>
      </c>
      <c r="W29">
        <f t="shared" si="16"/>
        <v>4.2773437499999997E-2</v>
      </c>
      <c r="X29">
        <f t="shared" si="21"/>
        <v>4.2773437499999997E-2</v>
      </c>
      <c r="Y29">
        <f t="shared" si="22"/>
        <v>4.2773437499999997E-2</v>
      </c>
      <c r="Z29">
        <f t="shared" si="23"/>
        <v>4.2773437499999997E-2</v>
      </c>
      <c r="AA29">
        <f t="shared" si="24"/>
        <v>4.2773437499999997E-2</v>
      </c>
      <c r="AB29">
        <f t="shared" si="25"/>
        <v>4.2773437499999997E-2</v>
      </c>
      <c r="AD29" s="6">
        <v>5</v>
      </c>
      <c r="AE29" s="14">
        <f t="shared" si="17"/>
        <v>53.090909090909093</v>
      </c>
      <c r="AF29" s="14">
        <f t="shared" si="26"/>
        <v>53.090909090909093</v>
      </c>
      <c r="AG29" s="14">
        <f t="shared" si="27"/>
        <v>53.090909090909093</v>
      </c>
      <c r="AH29" s="14">
        <f t="shared" si="28"/>
        <v>53.090909090909093</v>
      </c>
      <c r="AI29" s="14">
        <f t="shared" si="29"/>
        <v>53.090909090909093</v>
      </c>
      <c r="AJ29" s="14">
        <f t="shared" si="29"/>
        <v>53.090909090909093</v>
      </c>
      <c r="AL29" s="6">
        <v>5</v>
      </c>
      <c r="AM29">
        <f t="shared" si="19"/>
        <v>4.2773437499999997E-2</v>
      </c>
      <c r="AN29">
        <f t="shared" si="30"/>
        <v>4.2773437499999997E-2</v>
      </c>
      <c r="AO29">
        <f t="shared" si="31"/>
        <v>4.2773437499999997E-2</v>
      </c>
      <c r="AP29">
        <f t="shared" si="32"/>
        <v>4.2773437499999997E-2</v>
      </c>
      <c r="AQ29">
        <f t="shared" si="33"/>
        <v>4.2773437499999997E-2</v>
      </c>
      <c r="AR29">
        <f t="shared" si="34"/>
        <v>4.2773437499999997E-2</v>
      </c>
      <c r="AT29" s="6">
        <v>5</v>
      </c>
      <c r="AU29" s="14">
        <f t="shared" si="18"/>
        <v>53.090909090909093</v>
      </c>
      <c r="AV29" s="14">
        <f t="shared" si="5"/>
        <v>53.090909090909093</v>
      </c>
      <c r="AW29" s="14">
        <f t="shared" si="6"/>
        <v>53.090909090909093</v>
      </c>
      <c r="AX29" s="14">
        <f t="shared" si="7"/>
        <v>53.090909090909093</v>
      </c>
      <c r="AY29" s="14">
        <f t="shared" si="8"/>
        <v>53.090909090909093</v>
      </c>
      <c r="AZ29" s="14">
        <f t="shared" si="20"/>
        <v>53.090909090909093</v>
      </c>
    </row>
    <row r="30" spans="1:52" x14ac:dyDescent="0.45">
      <c r="A30" s="6">
        <v>5.2</v>
      </c>
      <c r="B30" s="10">
        <v>76</v>
      </c>
      <c r="C30" s="10">
        <v>76</v>
      </c>
      <c r="D30" s="10">
        <v>76</v>
      </c>
      <c r="E30" s="10">
        <v>76</v>
      </c>
      <c r="F30" s="10">
        <v>76</v>
      </c>
      <c r="G30">
        <v>76</v>
      </c>
      <c r="H30" s="4">
        <v>41</v>
      </c>
      <c r="I30" s="4">
        <v>54.524390703910306</v>
      </c>
      <c r="K30" s="6">
        <v>27</v>
      </c>
      <c r="L30" s="6">
        <v>5.2</v>
      </c>
      <c r="M30" s="1">
        <f t="shared" si="9"/>
        <v>1454</v>
      </c>
      <c r="N30" s="1">
        <f t="shared" si="10"/>
        <v>1454</v>
      </c>
      <c r="O30" s="1">
        <f t="shared" si="11"/>
        <v>1454</v>
      </c>
      <c r="P30" s="1">
        <f t="shared" si="12"/>
        <v>1454</v>
      </c>
      <c r="Q30" s="1">
        <f t="shared" si="13"/>
        <v>1454</v>
      </c>
      <c r="R30" s="1">
        <f t="shared" si="14"/>
        <v>1454</v>
      </c>
      <c r="S30" s="1">
        <f t="shared" si="15"/>
        <v>1454</v>
      </c>
      <c r="T30" s="5">
        <f t="shared" si="1"/>
        <v>2000</v>
      </c>
      <c r="U30" s="2"/>
      <c r="V30" s="6">
        <v>5.2</v>
      </c>
      <c r="W30">
        <f t="shared" si="16"/>
        <v>4.4531250000000001E-2</v>
      </c>
      <c r="X30">
        <f t="shared" si="21"/>
        <v>4.4531250000000001E-2</v>
      </c>
      <c r="Y30">
        <f t="shared" si="22"/>
        <v>4.4531250000000001E-2</v>
      </c>
      <c r="Z30">
        <f t="shared" si="23"/>
        <v>4.4531250000000001E-2</v>
      </c>
      <c r="AA30">
        <f t="shared" si="24"/>
        <v>4.4531250000000001E-2</v>
      </c>
      <c r="AB30">
        <f t="shared" si="25"/>
        <v>4.4531250000000001E-2</v>
      </c>
      <c r="AD30" s="6">
        <v>5.2</v>
      </c>
      <c r="AE30" s="14">
        <f t="shared" si="17"/>
        <v>55.27272727272728</v>
      </c>
      <c r="AF30" s="14">
        <f t="shared" si="26"/>
        <v>55.27272727272728</v>
      </c>
      <c r="AG30" s="14">
        <f t="shared" si="27"/>
        <v>55.27272727272728</v>
      </c>
      <c r="AH30" s="14">
        <f t="shared" si="28"/>
        <v>55.27272727272728</v>
      </c>
      <c r="AI30" s="14">
        <f t="shared" si="29"/>
        <v>55.27272727272728</v>
      </c>
      <c r="AJ30" s="14">
        <f t="shared" si="29"/>
        <v>55.27272727272728</v>
      </c>
      <c r="AL30" s="6">
        <v>5.2</v>
      </c>
      <c r="AM30">
        <f t="shared" si="19"/>
        <v>4.4531250000000001E-2</v>
      </c>
      <c r="AN30">
        <f t="shared" si="30"/>
        <v>4.4531250000000001E-2</v>
      </c>
      <c r="AO30">
        <f t="shared" si="31"/>
        <v>4.4531250000000001E-2</v>
      </c>
      <c r="AP30">
        <f t="shared" si="32"/>
        <v>4.4531250000000001E-2</v>
      </c>
      <c r="AQ30">
        <f t="shared" si="33"/>
        <v>4.4531250000000001E-2</v>
      </c>
      <c r="AR30">
        <f t="shared" si="34"/>
        <v>4.4531250000000001E-2</v>
      </c>
      <c r="AT30" s="6">
        <v>5.2</v>
      </c>
      <c r="AU30" s="14">
        <f t="shared" si="18"/>
        <v>55.27272727272728</v>
      </c>
      <c r="AV30" s="14">
        <f t="shared" si="5"/>
        <v>55.27272727272728</v>
      </c>
      <c r="AW30" s="14">
        <f t="shared" si="6"/>
        <v>55.27272727272728</v>
      </c>
      <c r="AX30" s="14">
        <f t="shared" si="7"/>
        <v>55.27272727272728</v>
      </c>
      <c r="AY30" s="14">
        <f t="shared" si="8"/>
        <v>55.27272727272728</v>
      </c>
      <c r="AZ30" s="14">
        <f t="shared" si="20"/>
        <v>55.27272727272728</v>
      </c>
    </row>
    <row r="31" spans="1:52" x14ac:dyDescent="0.45">
      <c r="A31" s="6">
        <v>5.4</v>
      </c>
      <c r="B31" s="1">
        <v>79</v>
      </c>
      <c r="C31" s="1">
        <v>79</v>
      </c>
      <c r="D31" s="1">
        <v>79</v>
      </c>
      <c r="E31" s="1">
        <v>79</v>
      </c>
      <c r="F31" s="1">
        <v>79</v>
      </c>
      <c r="G31">
        <v>79</v>
      </c>
      <c r="H31" s="4">
        <v>41</v>
      </c>
      <c r="I31" s="4">
        <v>55.11500124524531</v>
      </c>
      <c r="K31" s="6">
        <v>28</v>
      </c>
      <c r="L31" s="6">
        <v>5.4</v>
      </c>
      <c r="M31" s="1">
        <f t="shared" si="9"/>
        <v>1454</v>
      </c>
      <c r="N31" s="1">
        <f t="shared" si="10"/>
        <v>1454</v>
      </c>
      <c r="O31" s="1">
        <f t="shared" si="11"/>
        <v>1454</v>
      </c>
      <c r="P31" s="1">
        <f t="shared" si="12"/>
        <v>1454</v>
      </c>
      <c r="Q31" s="1">
        <f t="shared" si="13"/>
        <v>1454</v>
      </c>
      <c r="R31" s="1">
        <f t="shared" si="14"/>
        <v>1454</v>
      </c>
      <c r="S31" s="1">
        <f t="shared" si="15"/>
        <v>1454</v>
      </c>
      <c r="T31" s="5">
        <f t="shared" si="1"/>
        <v>2000</v>
      </c>
      <c r="U31" s="2"/>
      <c r="V31" s="6">
        <v>5.4</v>
      </c>
      <c r="W31">
        <f t="shared" si="16"/>
        <v>4.6289062499999999E-2</v>
      </c>
      <c r="X31">
        <f t="shared" si="21"/>
        <v>4.6289062499999999E-2</v>
      </c>
      <c r="Y31">
        <f t="shared" si="22"/>
        <v>4.6289062499999999E-2</v>
      </c>
      <c r="Z31">
        <f t="shared" si="23"/>
        <v>4.6289062499999999E-2</v>
      </c>
      <c r="AA31">
        <f t="shared" si="24"/>
        <v>4.6289062499999999E-2</v>
      </c>
      <c r="AB31">
        <f t="shared" si="25"/>
        <v>4.6289062499999999E-2</v>
      </c>
      <c r="AD31" s="6">
        <v>5.4</v>
      </c>
      <c r="AE31" s="14">
        <f t="shared" si="17"/>
        <v>57.454545454545453</v>
      </c>
      <c r="AF31" s="14">
        <f t="shared" si="26"/>
        <v>57.454545454545453</v>
      </c>
      <c r="AG31" s="14">
        <f t="shared" si="27"/>
        <v>57.454545454545453</v>
      </c>
      <c r="AH31" s="14">
        <f t="shared" si="28"/>
        <v>57.454545454545453</v>
      </c>
      <c r="AI31" s="14">
        <f t="shared" si="29"/>
        <v>57.454545454545453</v>
      </c>
      <c r="AJ31" s="14">
        <f t="shared" si="29"/>
        <v>57.454545454545453</v>
      </c>
      <c r="AL31" s="6">
        <v>5.4</v>
      </c>
      <c r="AM31">
        <f t="shared" si="19"/>
        <v>4.6289062499999999E-2</v>
      </c>
      <c r="AN31">
        <f t="shared" si="30"/>
        <v>4.6289062499999999E-2</v>
      </c>
      <c r="AO31">
        <f t="shared" si="31"/>
        <v>4.6289062499999999E-2</v>
      </c>
      <c r="AP31">
        <f t="shared" si="32"/>
        <v>4.6289062499999999E-2</v>
      </c>
      <c r="AQ31">
        <f t="shared" si="33"/>
        <v>4.6289062499999999E-2</v>
      </c>
      <c r="AR31">
        <f t="shared" si="34"/>
        <v>4.6289062499999999E-2</v>
      </c>
      <c r="AT31" s="6">
        <v>5.4</v>
      </c>
      <c r="AU31" s="14">
        <f t="shared" si="18"/>
        <v>57.454545454545453</v>
      </c>
      <c r="AV31" s="14">
        <f t="shared" si="5"/>
        <v>57.454545454545453</v>
      </c>
      <c r="AW31" s="14">
        <f t="shared" si="6"/>
        <v>57.454545454545453</v>
      </c>
      <c r="AX31" s="14">
        <f t="shared" si="7"/>
        <v>57.454545454545453</v>
      </c>
      <c r="AY31" s="14">
        <f t="shared" si="8"/>
        <v>57.454545454545453</v>
      </c>
      <c r="AZ31" s="14">
        <f t="shared" si="20"/>
        <v>57.454545454545453</v>
      </c>
    </row>
    <row r="32" spans="1:52" x14ac:dyDescent="0.45">
      <c r="A32" s="6">
        <v>5.6</v>
      </c>
      <c r="B32" s="1">
        <v>81</v>
      </c>
      <c r="C32" s="1">
        <v>81</v>
      </c>
      <c r="D32" s="1">
        <v>81</v>
      </c>
      <c r="E32" s="1">
        <v>81</v>
      </c>
      <c r="F32" s="1">
        <v>81</v>
      </c>
      <c r="G32">
        <v>81</v>
      </c>
      <c r="H32" s="4">
        <v>42</v>
      </c>
      <c r="I32" s="4">
        <v>55.684884278980341</v>
      </c>
      <c r="K32" s="6">
        <v>29</v>
      </c>
      <c r="L32" s="6">
        <v>5.6</v>
      </c>
      <c r="M32" s="1">
        <f t="shared" si="9"/>
        <v>1454</v>
      </c>
      <c r="N32" s="1">
        <f t="shared" si="10"/>
        <v>1454</v>
      </c>
      <c r="O32" s="1">
        <f t="shared" si="11"/>
        <v>1454</v>
      </c>
      <c r="P32" s="1">
        <f t="shared" si="12"/>
        <v>1454</v>
      </c>
      <c r="Q32" s="1">
        <f t="shared" si="13"/>
        <v>1454</v>
      </c>
      <c r="R32" s="1">
        <f t="shared" si="14"/>
        <v>1454</v>
      </c>
      <c r="S32" s="1">
        <f t="shared" si="15"/>
        <v>1454</v>
      </c>
      <c r="T32" s="5">
        <f t="shared" si="1"/>
        <v>2000</v>
      </c>
      <c r="U32" s="2"/>
      <c r="V32" s="6">
        <v>5.6</v>
      </c>
      <c r="W32">
        <f t="shared" si="16"/>
        <v>4.7460937500000001E-2</v>
      </c>
      <c r="X32">
        <f t="shared" si="21"/>
        <v>4.7460937500000001E-2</v>
      </c>
      <c r="Y32">
        <f t="shared" si="22"/>
        <v>4.7460937500000001E-2</v>
      </c>
      <c r="Z32">
        <f t="shared" si="23"/>
        <v>4.7460937500000001E-2</v>
      </c>
      <c r="AA32">
        <f t="shared" si="24"/>
        <v>4.7460937500000001E-2</v>
      </c>
      <c r="AB32">
        <f t="shared" si="25"/>
        <v>4.7460937500000001E-2</v>
      </c>
      <c r="AD32" s="6">
        <v>5.6</v>
      </c>
      <c r="AE32" s="14">
        <f t="shared" si="17"/>
        <v>58.909090909090914</v>
      </c>
      <c r="AF32" s="14">
        <f t="shared" si="26"/>
        <v>58.909090909090914</v>
      </c>
      <c r="AG32" s="14">
        <f t="shared" si="27"/>
        <v>58.909090909090914</v>
      </c>
      <c r="AH32" s="14">
        <f t="shared" si="28"/>
        <v>58.909090909090914</v>
      </c>
      <c r="AI32" s="14">
        <f t="shared" si="29"/>
        <v>58.909090909090914</v>
      </c>
      <c r="AJ32" s="14">
        <f t="shared" si="29"/>
        <v>58.909090909090914</v>
      </c>
      <c r="AL32" s="6">
        <v>5.6</v>
      </c>
      <c r="AM32">
        <f t="shared" si="19"/>
        <v>4.7460937500000001E-2</v>
      </c>
      <c r="AN32">
        <f t="shared" si="30"/>
        <v>4.7460937500000001E-2</v>
      </c>
      <c r="AO32">
        <f t="shared" si="31"/>
        <v>4.7460937500000001E-2</v>
      </c>
      <c r="AP32">
        <f t="shared" si="32"/>
        <v>4.7460937500000001E-2</v>
      </c>
      <c r="AQ32">
        <f t="shared" si="33"/>
        <v>4.7460937500000001E-2</v>
      </c>
      <c r="AR32">
        <f t="shared" si="34"/>
        <v>4.7460937500000001E-2</v>
      </c>
      <c r="AT32" s="6">
        <v>5.6</v>
      </c>
      <c r="AU32" s="14">
        <f t="shared" si="18"/>
        <v>58.909090909090914</v>
      </c>
      <c r="AV32" s="14">
        <f t="shared" si="5"/>
        <v>58.909090909090914</v>
      </c>
      <c r="AW32" s="14">
        <f t="shared" si="6"/>
        <v>58.909090909090914</v>
      </c>
      <c r="AX32" s="14">
        <f t="shared" si="7"/>
        <v>58.909090909090914</v>
      </c>
      <c r="AY32" s="14">
        <f t="shared" si="8"/>
        <v>58.909090909090914</v>
      </c>
      <c r="AZ32" s="14">
        <f t="shared" si="20"/>
        <v>58.909090909090914</v>
      </c>
    </row>
    <row r="33" spans="1:52" x14ac:dyDescent="0.45">
      <c r="A33" s="6">
        <v>5.8</v>
      </c>
      <c r="B33" s="1">
        <v>84</v>
      </c>
      <c r="C33" s="1">
        <v>84</v>
      </c>
      <c r="D33" s="1">
        <v>84</v>
      </c>
      <c r="E33" s="1">
        <v>84</v>
      </c>
      <c r="F33" s="1">
        <v>84</v>
      </c>
      <c r="G33">
        <v>84</v>
      </c>
      <c r="H33" s="4">
        <v>42</v>
      </c>
      <c r="I33" s="4">
        <v>56.235445478193405</v>
      </c>
      <c r="K33" s="6">
        <v>30</v>
      </c>
      <c r="L33" s="6">
        <v>5.8</v>
      </c>
      <c r="M33" s="1">
        <f t="shared" si="9"/>
        <v>1454</v>
      </c>
      <c r="N33" s="1">
        <f t="shared" si="10"/>
        <v>1454</v>
      </c>
      <c r="O33" s="1">
        <f t="shared" si="11"/>
        <v>1454</v>
      </c>
      <c r="P33" s="1">
        <f t="shared" si="12"/>
        <v>1454</v>
      </c>
      <c r="Q33" s="1">
        <f t="shared" si="13"/>
        <v>1454</v>
      </c>
      <c r="R33" s="1">
        <f t="shared" si="14"/>
        <v>1454</v>
      </c>
      <c r="S33" s="1">
        <f t="shared" si="15"/>
        <v>1454</v>
      </c>
      <c r="T33" s="5">
        <f t="shared" si="1"/>
        <v>2000</v>
      </c>
      <c r="U33" s="2"/>
      <c r="V33" s="6">
        <v>5.8</v>
      </c>
      <c r="W33">
        <f t="shared" si="16"/>
        <v>4.9218749999999999E-2</v>
      </c>
      <c r="X33">
        <f t="shared" si="21"/>
        <v>4.9218749999999999E-2</v>
      </c>
      <c r="Y33">
        <f t="shared" si="22"/>
        <v>4.9218749999999999E-2</v>
      </c>
      <c r="Z33">
        <f t="shared" si="23"/>
        <v>4.9218749999999999E-2</v>
      </c>
      <c r="AA33">
        <f t="shared" si="24"/>
        <v>4.9218749999999999E-2</v>
      </c>
      <c r="AB33">
        <f t="shared" si="25"/>
        <v>4.9218749999999999E-2</v>
      </c>
      <c r="AD33" s="6">
        <v>5.8</v>
      </c>
      <c r="AE33" s="14">
        <f t="shared" si="17"/>
        <v>61.090909090909093</v>
      </c>
      <c r="AF33" s="14">
        <f t="shared" si="26"/>
        <v>61.090909090909093</v>
      </c>
      <c r="AG33" s="14">
        <f t="shared" si="27"/>
        <v>61.090909090909093</v>
      </c>
      <c r="AH33" s="14">
        <f t="shared" si="28"/>
        <v>61.090909090909093</v>
      </c>
      <c r="AI33" s="14">
        <f t="shared" si="29"/>
        <v>61.090909090909093</v>
      </c>
      <c r="AJ33" s="14">
        <f t="shared" si="29"/>
        <v>61.090909090909093</v>
      </c>
      <c r="AL33" s="6">
        <v>5.8</v>
      </c>
      <c r="AM33">
        <f t="shared" si="19"/>
        <v>4.9218749999999999E-2</v>
      </c>
      <c r="AN33">
        <f t="shared" si="30"/>
        <v>4.9218749999999999E-2</v>
      </c>
      <c r="AO33">
        <f t="shared" si="31"/>
        <v>4.9218749999999999E-2</v>
      </c>
      <c r="AP33">
        <f t="shared" si="32"/>
        <v>4.9218749999999999E-2</v>
      </c>
      <c r="AQ33">
        <f t="shared" si="33"/>
        <v>4.9218749999999999E-2</v>
      </c>
      <c r="AR33">
        <f t="shared" si="34"/>
        <v>4.9218749999999999E-2</v>
      </c>
      <c r="AT33" s="6">
        <v>5.8</v>
      </c>
      <c r="AU33" s="14">
        <f t="shared" si="18"/>
        <v>61.090909090909093</v>
      </c>
      <c r="AV33" s="14">
        <f t="shared" si="5"/>
        <v>61.090909090909093</v>
      </c>
      <c r="AW33" s="14">
        <f t="shared" si="6"/>
        <v>61.090909090909093</v>
      </c>
      <c r="AX33" s="14">
        <f t="shared" si="7"/>
        <v>61.090909090909093</v>
      </c>
      <c r="AY33" s="14">
        <f t="shared" si="8"/>
        <v>61.090909090909093</v>
      </c>
      <c r="AZ33" s="14">
        <f t="shared" si="20"/>
        <v>61.090909090909093</v>
      </c>
    </row>
    <row r="34" spans="1:52" x14ac:dyDescent="0.45">
      <c r="A34" s="6">
        <v>6</v>
      </c>
      <c r="B34" s="1">
        <v>87</v>
      </c>
      <c r="C34" s="1">
        <v>87</v>
      </c>
      <c r="D34" s="1">
        <v>87</v>
      </c>
      <c r="E34" s="1">
        <v>87</v>
      </c>
      <c r="F34" s="1">
        <v>87</v>
      </c>
      <c r="G34">
        <v>87</v>
      </c>
      <c r="H34" s="4">
        <v>42</v>
      </c>
      <c r="I34" s="4">
        <v>56.767952200838771</v>
      </c>
      <c r="K34" s="6">
        <v>31</v>
      </c>
      <c r="L34" s="6">
        <v>6</v>
      </c>
      <c r="M34" s="1">
        <f t="shared" si="9"/>
        <v>1454</v>
      </c>
      <c r="N34" s="1">
        <f t="shared" si="10"/>
        <v>1454</v>
      </c>
      <c r="O34" s="1">
        <f t="shared" si="11"/>
        <v>1454</v>
      </c>
      <c r="P34" s="1">
        <f t="shared" si="12"/>
        <v>1454</v>
      </c>
      <c r="Q34" s="1">
        <f t="shared" si="13"/>
        <v>1454</v>
      </c>
      <c r="R34" s="1">
        <f t="shared" si="14"/>
        <v>1454</v>
      </c>
      <c r="S34" s="1">
        <f t="shared" si="15"/>
        <v>1454</v>
      </c>
      <c r="T34" s="5">
        <f t="shared" si="1"/>
        <v>2000</v>
      </c>
      <c r="U34" s="2"/>
      <c r="V34" s="6">
        <v>6</v>
      </c>
      <c r="W34">
        <f t="shared" si="16"/>
        <v>5.0976562499999996E-2</v>
      </c>
      <c r="X34">
        <f t="shared" si="21"/>
        <v>5.0976562499999996E-2</v>
      </c>
      <c r="Y34">
        <f t="shared" si="22"/>
        <v>5.0976562499999996E-2</v>
      </c>
      <c r="Z34">
        <f t="shared" si="23"/>
        <v>5.0976562499999996E-2</v>
      </c>
      <c r="AA34">
        <f t="shared" si="24"/>
        <v>5.0976562499999996E-2</v>
      </c>
      <c r="AB34">
        <f t="shared" si="25"/>
        <v>5.0976562499999996E-2</v>
      </c>
      <c r="AD34" s="6">
        <v>6</v>
      </c>
      <c r="AE34" s="14">
        <f t="shared" si="17"/>
        <v>63.272727272727273</v>
      </c>
      <c r="AF34" s="14">
        <f t="shared" si="26"/>
        <v>63.272727272727273</v>
      </c>
      <c r="AG34" s="14">
        <f t="shared" si="27"/>
        <v>63.272727272727273</v>
      </c>
      <c r="AH34" s="14">
        <f t="shared" si="28"/>
        <v>63.272727272727273</v>
      </c>
      <c r="AI34" s="14">
        <f t="shared" si="29"/>
        <v>63.272727272727273</v>
      </c>
      <c r="AJ34" s="14">
        <f t="shared" si="29"/>
        <v>63.272727272727273</v>
      </c>
      <c r="AL34" s="6">
        <v>6</v>
      </c>
      <c r="AM34">
        <f t="shared" si="19"/>
        <v>5.0976562499999996E-2</v>
      </c>
      <c r="AN34">
        <f t="shared" si="30"/>
        <v>5.0976562499999996E-2</v>
      </c>
      <c r="AO34">
        <f t="shared" si="31"/>
        <v>5.0976562499999996E-2</v>
      </c>
      <c r="AP34">
        <f t="shared" si="32"/>
        <v>5.0976562499999996E-2</v>
      </c>
      <c r="AQ34">
        <f t="shared" si="33"/>
        <v>5.0976562499999996E-2</v>
      </c>
      <c r="AR34">
        <f t="shared" si="34"/>
        <v>5.0976562499999996E-2</v>
      </c>
      <c r="AT34" s="6">
        <v>6</v>
      </c>
      <c r="AU34" s="14">
        <f t="shared" si="18"/>
        <v>63.272727272727273</v>
      </c>
      <c r="AV34" s="14">
        <f t="shared" si="5"/>
        <v>63.272727272727273</v>
      </c>
      <c r="AW34" s="14">
        <f t="shared" si="6"/>
        <v>63.272727272727273</v>
      </c>
      <c r="AX34" s="14">
        <f t="shared" si="7"/>
        <v>63.272727272727273</v>
      </c>
      <c r="AY34" s="14">
        <f t="shared" si="8"/>
        <v>63.272727272727273</v>
      </c>
      <c r="AZ34" s="14">
        <f t="shared" si="20"/>
        <v>63.272727272727273</v>
      </c>
    </row>
    <row r="35" spans="1:52" x14ac:dyDescent="0.45">
      <c r="A35" s="6">
        <v>6.2</v>
      </c>
      <c r="B35" s="1">
        <v>90</v>
      </c>
      <c r="C35" s="1">
        <v>90</v>
      </c>
      <c r="D35" s="1">
        <v>90</v>
      </c>
      <c r="E35" s="1">
        <v>90</v>
      </c>
      <c r="F35" s="1">
        <v>90</v>
      </c>
      <c r="G35">
        <v>90</v>
      </c>
      <c r="H35" s="4">
        <v>43</v>
      </c>
      <c r="I35" s="4">
        <v>57.283551061467563</v>
      </c>
      <c r="K35" s="6">
        <v>32</v>
      </c>
      <c r="L35" s="6">
        <v>6.2</v>
      </c>
      <c r="M35" s="1">
        <f t="shared" si="9"/>
        <v>1454</v>
      </c>
      <c r="N35" s="1">
        <f t="shared" si="10"/>
        <v>1454</v>
      </c>
      <c r="O35" s="1">
        <f t="shared" si="11"/>
        <v>1454</v>
      </c>
      <c r="P35" s="1">
        <f t="shared" si="12"/>
        <v>1454</v>
      </c>
      <c r="Q35" s="1">
        <f t="shared" si="13"/>
        <v>1454</v>
      </c>
      <c r="R35" s="1">
        <f t="shared" si="14"/>
        <v>1454</v>
      </c>
      <c r="S35" s="1">
        <f t="shared" si="15"/>
        <v>1454</v>
      </c>
      <c r="T35" s="5">
        <f t="shared" si="1"/>
        <v>2000</v>
      </c>
      <c r="U35" s="2"/>
      <c r="V35" s="6">
        <v>6.2</v>
      </c>
      <c r="W35">
        <f t="shared" si="16"/>
        <v>5.2734375E-2</v>
      </c>
      <c r="X35">
        <f t="shared" si="21"/>
        <v>5.2734375E-2</v>
      </c>
      <c r="Y35">
        <f t="shared" si="22"/>
        <v>5.2734375E-2</v>
      </c>
      <c r="Z35">
        <f t="shared" si="23"/>
        <v>5.2734375E-2</v>
      </c>
      <c r="AA35">
        <f t="shared" si="24"/>
        <v>5.2734375E-2</v>
      </c>
      <c r="AB35">
        <f t="shared" si="25"/>
        <v>5.2734375E-2</v>
      </c>
      <c r="AD35" s="6">
        <v>6.2</v>
      </c>
      <c r="AE35" s="14">
        <f t="shared" si="17"/>
        <v>65.454545454545453</v>
      </c>
      <c r="AF35" s="14">
        <f t="shared" si="26"/>
        <v>65.454545454545453</v>
      </c>
      <c r="AG35" s="14">
        <f t="shared" si="27"/>
        <v>65.454545454545453</v>
      </c>
      <c r="AH35" s="14">
        <f t="shared" si="28"/>
        <v>65.454545454545453</v>
      </c>
      <c r="AI35" s="14">
        <f t="shared" si="29"/>
        <v>65.454545454545453</v>
      </c>
      <c r="AJ35" s="14">
        <f t="shared" si="29"/>
        <v>65.454545454545453</v>
      </c>
      <c r="AL35" s="6">
        <v>6.2</v>
      </c>
      <c r="AM35">
        <f t="shared" si="19"/>
        <v>5.2734374999999993E-2</v>
      </c>
      <c r="AN35">
        <f t="shared" si="30"/>
        <v>5.2734374999999993E-2</v>
      </c>
      <c r="AO35">
        <f t="shared" si="31"/>
        <v>5.2734374999999993E-2</v>
      </c>
      <c r="AP35">
        <f t="shared" si="32"/>
        <v>5.2734374999999993E-2</v>
      </c>
      <c r="AQ35">
        <f t="shared" si="33"/>
        <v>5.2734374999999993E-2</v>
      </c>
      <c r="AR35">
        <f t="shared" si="34"/>
        <v>5.2734374999999993E-2</v>
      </c>
      <c r="AT35" s="6">
        <v>6.2</v>
      </c>
      <c r="AU35" s="14">
        <f t="shared" si="18"/>
        <v>65.454545454545453</v>
      </c>
      <c r="AV35" s="14">
        <f t="shared" si="5"/>
        <v>65.454545454545453</v>
      </c>
      <c r="AW35" s="14">
        <f t="shared" si="6"/>
        <v>65.454545454545453</v>
      </c>
      <c r="AX35" s="14">
        <f t="shared" si="7"/>
        <v>65.454545454545453</v>
      </c>
      <c r="AY35" s="14">
        <f t="shared" si="8"/>
        <v>65.454545454545453</v>
      </c>
      <c r="AZ35" s="14">
        <f t="shared" si="20"/>
        <v>65.454545454545453</v>
      </c>
    </row>
    <row r="36" spans="1:52" x14ac:dyDescent="0.45">
      <c r="A36" s="6">
        <v>6.4</v>
      </c>
      <c r="B36" s="1">
        <v>93</v>
      </c>
      <c r="C36" s="1">
        <v>93</v>
      </c>
      <c r="D36" s="1">
        <v>93</v>
      </c>
      <c r="E36" s="1">
        <v>93</v>
      </c>
      <c r="F36" s="1">
        <v>93</v>
      </c>
      <c r="G36">
        <v>93</v>
      </c>
      <c r="H36" s="4">
        <v>43</v>
      </c>
      <c r="I36" s="4">
        <v>57.783282798215645</v>
      </c>
      <c r="K36" s="6">
        <v>33</v>
      </c>
      <c r="L36" s="6">
        <v>6.4</v>
      </c>
      <c r="M36" s="1">
        <f t="shared" si="9"/>
        <v>1454</v>
      </c>
      <c r="N36" s="1">
        <f t="shared" si="10"/>
        <v>1454</v>
      </c>
      <c r="O36" s="1">
        <f t="shared" si="11"/>
        <v>1454</v>
      </c>
      <c r="P36" s="1">
        <f t="shared" si="12"/>
        <v>1454</v>
      </c>
      <c r="Q36" s="1">
        <f t="shared" si="13"/>
        <v>1454</v>
      </c>
      <c r="R36" s="1">
        <f t="shared" si="14"/>
        <v>1454</v>
      </c>
      <c r="S36" s="1">
        <f t="shared" si="15"/>
        <v>1454</v>
      </c>
      <c r="T36" s="5">
        <f t="shared" ref="T36:T63" si="35">IF((I36*T$2)&gt;2000, 2000,(I36*T$2))</f>
        <v>2000</v>
      </c>
      <c r="U36" s="2"/>
      <c r="V36" s="6">
        <v>6.4</v>
      </c>
      <c r="W36">
        <f t="shared" si="16"/>
        <v>5.4492187499999997E-2</v>
      </c>
      <c r="X36">
        <f t="shared" si="21"/>
        <v>5.4492187499999997E-2</v>
      </c>
      <c r="Y36">
        <f t="shared" si="22"/>
        <v>5.4492187499999997E-2</v>
      </c>
      <c r="Z36">
        <f t="shared" si="23"/>
        <v>5.4492187499999997E-2</v>
      </c>
      <c r="AA36">
        <f t="shared" si="24"/>
        <v>5.4492187499999997E-2</v>
      </c>
      <c r="AB36">
        <f t="shared" si="25"/>
        <v>5.4492187499999997E-2</v>
      </c>
      <c r="AD36" s="6">
        <v>6.4</v>
      </c>
      <c r="AE36" s="14">
        <f t="shared" si="17"/>
        <v>67.63636363636364</v>
      </c>
      <c r="AF36" s="14">
        <f t="shared" si="26"/>
        <v>67.63636363636364</v>
      </c>
      <c r="AG36" s="14">
        <f t="shared" si="27"/>
        <v>67.63636363636364</v>
      </c>
      <c r="AH36" s="14">
        <f t="shared" si="28"/>
        <v>67.63636363636364</v>
      </c>
      <c r="AI36" s="14">
        <f t="shared" si="29"/>
        <v>67.63636363636364</v>
      </c>
      <c r="AJ36" s="14">
        <f t="shared" si="29"/>
        <v>67.63636363636364</v>
      </c>
      <c r="AL36" s="6">
        <v>6.4</v>
      </c>
      <c r="AM36">
        <f t="shared" si="19"/>
        <v>5.4492187499999997E-2</v>
      </c>
      <c r="AN36">
        <f t="shared" si="30"/>
        <v>5.4492187499999997E-2</v>
      </c>
      <c r="AO36">
        <f t="shared" si="31"/>
        <v>5.4492187499999997E-2</v>
      </c>
      <c r="AP36">
        <f t="shared" si="32"/>
        <v>5.4492187499999997E-2</v>
      </c>
      <c r="AQ36">
        <f t="shared" si="33"/>
        <v>5.4492187499999997E-2</v>
      </c>
      <c r="AR36">
        <f t="shared" si="34"/>
        <v>5.4492187499999997E-2</v>
      </c>
      <c r="AT36" s="6">
        <v>6.4</v>
      </c>
      <c r="AU36" s="14">
        <f t="shared" si="18"/>
        <v>67.63636363636364</v>
      </c>
      <c r="AV36" s="14">
        <f t="shared" si="5"/>
        <v>67.63636363636364</v>
      </c>
      <c r="AW36" s="14">
        <f t="shared" si="6"/>
        <v>67.63636363636364</v>
      </c>
      <c r="AX36" s="14">
        <f t="shared" si="7"/>
        <v>67.63636363636364</v>
      </c>
      <c r="AY36" s="14">
        <f t="shared" si="8"/>
        <v>67.63636363636364</v>
      </c>
      <c r="AZ36" s="14">
        <f t="shared" si="20"/>
        <v>67.63636363636364</v>
      </c>
    </row>
    <row r="37" spans="1:52" x14ac:dyDescent="0.45">
      <c r="A37" s="6">
        <v>6.6</v>
      </c>
      <c r="B37" s="1">
        <v>96</v>
      </c>
      <c r="C37" s="1">
        <v>96</v>
      </c>
      <c r="D37" s="1">
        <v>96</v>
      </c>
      <c r="E37" s="1">
        <v>96</v>
      </c>
      <c r="F37" s="1">
        <v>96</v>
      </c>
      <c r="G37">
        <v>96</v>
      </c>
      <c r="H37" s="4">
        <v>43</v>
      </c>
      <c r="I37" s="4">
        <v>58.268094919766462</v>
      </c>
      <c r="K37" s="6">
        <v>34</v>
      </c>
      <c r="L37" s="6">
        <v>6.6</v>
      </c>
      <c r="M37" s="1">
        <f t="shared" si="9"/>
        <v>1454</v>
      </c>
      <c r="N37" s="1">
        <f t="shared" si="10"/>
        <v>1454</v>
      </c>
      <c r="O37" s="1">
        <f t="shared" si="11"/>
        <v>1454</v>
      </c>
      <c r="P37" s="1">
        <f t="shared" si="12"/>
        <v>1454</v>
      </c>
      <c r="Q37" s="1">
        <f t="shared" si="13"/>
        <v>1454</v>
      </c>
      <c r="R37" s="1">
        <f t="shared" si="14"/>
        <v>1454</v>
      </c>
      <c r="S37" s="1">
        <f t="shared" si="15"/>
        <v>1454</v>
      </c>
      <c r="T37" s="5">
        <f t="shared" si="35"/>
        <v>2000</v>
      </c>
      <c r="U37" s="2"/>
      <c r="V37" s="6">
        <v>6.6</v>
      </c>
      <c r="W37">
        <f t="shared" si="16"/>
        <v>5.6249999999999994E-2</v>
      </c>
      <c r="X37">
        <f t="shared" si="21"/>
        <v>5.6249999999999994E-2</v>
      </c>
      <c r="Y37">
        <f t="shared" si="22"/>
        <v>5.6249999999999994E-2</v>
      </c>
      <c r="Z37">
        <f t="shared" si="23"/>
        <v>5.6249999999999994E-2</v>
      </c>
      <c r="AA37">
        <f t="shared" si="24"/>
        <v>5.6249999999999994E-2</v>
      </c>
      <c r="AB37">
        <f t="shared" si="25"/>
        <v>5.6249999999999994E-2</v>
      </c>
      <c r="AD37" s="6">
        <v>6.6</v>
      </c>
      <c r="AE37" s="14">
        <f t="shared" si="17"/>
        <v>69.818181818181813</v>
      </c>
      <c r="AF37" s="14">
        <f t="shared" si="26"/>
        <v>69.818181818181813</v>
      </c>
      <c r="AG37" s="14">
        <f t="shared" si="27"/>
        <v>69.818181818181813</v>
      </c>
      <c r="AH37" s="14">
        <f t="shared" si="28"/>
        <v>69.818181818181813</v>
      </c>
      <c r="AI37" s="14">
        <f t="shared" si="29"/>
        <v>69.818181818181813</v>
      </c>
      <c r="AJ37" s="14">
        <f t="shared" si="29"/>
        <v>69.818181818181813</v>
      </c>
      <c r="AL37" s="6">
        <v>6.6</v>
      </c>
      <c r="AM37">
        <f t="shared" si="19"/>
        <v>5.6249999999999994E-2</v>
      </c>
      <c r="AN37">
        <f t="shared" si="30"/>
        <v>5.6249999999999994E-2</v>
      </c>
      <c r="AO37">
        <f t="shared" si="31"/>
        <v>5.6249999999999994E-2</v>
      </c>
      <c r="AP37">
        <f t="shared" si="32"/>
        <v>5.6249999999999994E-2</v>
      </c>
      <c r="AQ37">
        <f t="shared" si="33"/>
        <v>5.6249999999999994E-2</v>
      </c>
      <c r="AR37">
        <f t="shared" si="34"/>
        <v>5.6249999999999994E-2</v>
      </c>
      <c r="AT37" s="6">
        <v>6.6</v>
      </c>
      <c r="AU37" s="14">
        <f t="shared" si="18"/>
        <v>69.818181818181813</v>
      </c>
      <c r="AV37" s="14">
        <f t="shared" si="5"/>
        <v>69.818181818181813</v>
      </c>
      <c r="AW37" s="14">
        <f t="shared" si="6"/>
        <v>69.818181818181813</v>
      </c>
      <c r="AX37" s="14">
        <f t="shared" si="7"/>
        <v>69.818181818181813</v>
      </c>
      <c r="AY37" s="14">
        <f t="shared" si="8"/>
        <v>69.818181818181813</v>
      </c>
      <c r="AZ37" s="14">
        <f t="shared" si="20"/>
        <v>69.818181818181813</v>
      </c>
    </row>
    <row r="38" spans="1:52" x14ac:dyDescent="0.45">
      <c r="A38" s="6">
        <v>6.8</v>
      </c>
      <c r="B38" s="1">
        <v>99</v>
      </c>
      <c r="C38" s="1">
        <v>99</v>
      </c>
      <c r="D38" s="1">
        <v>99</v>
      </c>
      <c r="E38" s="1">
        <v>99</v>
      </c>
      <c r="F38" s="1">
        <v>99</v>
      </c>
      <c r="G38">
        <v>99</v>
      </c>
      <c r="H38" s="4">
        <v>44</v>
      </c>
      <c r="I38" s="4">
        <v>58.738852518588075</v>
      </c>
      <c r="K38" s="6">
        <v>35</v>
      </c>
      <c r="L38" s="6">
        <v>6.8</v>
      </c>
      <c r="M38" s="1">
        <f t="shared" si="9"/>
        <v>1454</v>
      </c>
      <c r="N38" s="1">
        <f t="shared" si="10"/>
        <v>1454</v>
      </c>
      <c r="O38" s="1">
        <f t="shared" si="11"/>
        <v>1454</v>
      </c>
      <c r="P38" s="1">
        <f t="shared" si="12"/>
        <v>1454</v>
      </c>
      <c r="Q38" s="1">
        <f t="shared" si="13"/>
        <v>1454</v>
      </c>
      <c r="R38" s="1">
        <f t="shared" si="14"/>
        <v>1454</v>
      </c>
      <c r="S38" s="1">
        <f t="shared" si="15"/>
        <v>1454</v>
      </c>
      <c r="T38" s="5">
        <f t="shared" si="35"/>
        <v>2000</v>
      </c>
      <c r="U38" s="2"/>
      <c r="V38" s="6">
        <v>6.8</v>
      </c>
      <c r="W38">
        <f t="shared" si="16"/>
        <v>5.8007812499999999E-2</v>
      </c>
      <c r="X38">
        <f t="shared" si="21"/>
        <v>5.8007812499999999E-2</v>
      </c>
      <c r="Y38">
        <f t="shared" si="22"/>
        <v>5.8007812499999999E-2</v>
      </c>
      <c r="Z38">
        <f t="shared" si="23"/>
        <v>5.8007812499999999E-2</v>
      </c>
      <c r="AA38">
        <f t="shared" si="24"/>
        <v>5.8007812499999999E-2</v>
      </c>
      <c r="AB38">
        <f t="shared" si="25"/>
        <v>5.8007812499999999E-2</v>
      </c>
      <c r="AD38" s="6">
        <v>6.8</v>
      </c>
      <c r="AE38" s="14">
        <f t="shared" si="17"/>
        <v>72</v>
      </c>
      <c r="AF38" s="14">
        <f t="shared" si="26"/>
        <v>72</v>
      </c>
      <c r="AG38" s="14">
        <f t="shared" si="27"/>
        <v>72</v>
      </c>
      <c r="AH38" s="14">
        <f t="shared" si="28"/>
        <v>72</v>
      </c>
      <c r="AI38" s="14">
        <f t="shared" si="29"/>
        <v>72</v>
      </c>
      <c r="AJ38" s="14">
        <f t="shared" si="29"/>
        <v>72</v>
      </c>
      <c r="AL38" s="6">
        <v>6.8</v>
      </c>
      <c r="AM38">
        <f t="shared" si="19"/>
        <v>5.8007812499999999E-2</v>
      </c>
      <c r="AN38">
        <f t="shared" si="30"/>
        <v>5.8007812499999999E-2</v>
      </c>
      <c r="AO38">
        <f t="shared" si="31"/>
        <v>5.8007812499999999E-2</v>
      </c>
      <c r="AP38">
        <f t="shared" si="32"/>
        <v>5.8007812499999999E-2</v>
      </c>
      <c r="AQ38">
        <f t="shared" si="33"/>
        <v>5.8007812499999999E-2</v>
      </c>
      <c r="AR38">
        <f t="shared" si="34"/>
        <v>5.8007812499999999E-2</v>
      </c>
      <c r="AT38" s="6">
        <v>6.8</v>
      </c>
      <c r="AU38" s="14">
        <f t="shared" si="18"/>
        <v>72</v>
      </c>
      <c r="AV38" s="14">
        <f t="shared" si="5"/>
        <v>72</v>
      </c>
      <c r="AW38" s="14">
        <f t="shared" si="6"/>
        <v>72</v>
      </c>
      <c r="AX38" s="14">
        <f t="shared" si="7"/>
        <v>72</v>
      </c>
      <c r="AY38" s="14">
        <f t="shared" si="8"/>
        <v>72</v>
      </c>
      <c r="AZ38" s="14">
        <f t="shared" si="20"/>
        <v>72</v>
      </c>
    </row>
    <row r="39" spans="1:52" x14ac:dyDescent="0.45">
      <c r="A39" s="6">
        <v>7</v>
      </c>
      <c r="B39" s="1">
        <v>102</v>
      </c>
      <c r="C39" s="1">
        <v>102</v>
      </c>
      <c r="D39" s="1">
        <v>102</v>
      </c>
      <c r="E39" s="1">
        <v>102</v>
      </c>
      <c r="F39" s="1">
        <v>102</v>
      </c>
      <c r="G39">
        <v>102</v>
      </c>
      <c r="H39" s="4">
        <v>44</v>
      </c>
      <c r="I39" s="4">
        <v>59.196347560527229</v>
      </c>
      <c r="K39" s="6">
        <v>36</v>
      </c>
      <c r="L39" s="6">
        <v>7</v>
      </c>
      <c r="M39" s="1">
        <f t="shared" si="9"/>
        <v>1454</v>
      </c>
      <c r="N39" s="1">
        <f t="shared" si="10"/>
        <v>1454</v>
      </c>
      <c r="O39" s="1">
        <f t="shared" si="11"/>
        <v>1454</v>
      </c>
      <c r="P39" s="1">
        <f t="shared" si="12"/>
        <v>1454</v>
      </c>
      <c r="Q39" s="1">
        <f t="shared" si="13"/>
        <v>1454</v>
      </c>
      <c r="R39" s="1">
        <f t="shared" si="14"/>
        <v>1454</v>
      </c>
      <c r="S39" s="1">
        <f t="shared" si="15"/>
        <v>1454</v>
      </c>
      <c r="T39" s="5">
        <f t="shared" si="35"/>
        <v>2000</v>
      </c>
      <c r="U39" s="2"/>
      <c r="V39" s="6">
        <v>7</v>
      </c>
      <c r="W39">
        <f t="shared" si="16"/>
        <v>5.9765624999999996E-2</v>
      </c>
      <c r="X39">
        <f t="shared" si="21"/>
        <v>5.9765624999999996E-2</v>
      </c>
      <c r="Y39">
        <f t="shared" si="22"/>
        <v>5.9765624999999996E-2</v>
      </c>
      <c r="Z39">
        <f t="shared" si="23"/>
        <v>5.9765624999999996E-2</v>
      </c>
      <c r="AA39">
        <f t="shared" si="24"/>
        <v>5.9765624999999996E-2</v>
      </c>
      <c r="AB39">
        <f t="shared" si="25"/>
        <v>5.9765624999999996E-2</v>
      </c>
      <c r="AD39" s="6">
        <v>7</v>
      </c>
      <c r="AE39" s="14">
        <f t="shared" si="17"/>
        <v>74.181818181818187</v>
      </c>
      <c r="AF39" s="14">
        <f t="shared" si="26"/>
        <v>74.181818181818187</v>
      </c>
      <c r="AG39" s="14">
        <f t="shared" si="27"/>
        <v>74.181818181818187</v>
      </c>
      <c r="AH39" s="14">
        <f t="shared" si="28"/>
        <v>74.181818181818187</v>
      </c>
      <c r="AI39" s="14">
        <f t="shared" si="29"/>
        <v>74.181818181818187</v>
      </c>
      <c r="AJ39" s="14">
        <f t="shared" si="29"/>
        <v>74.181818181818187</v>
      </c>
      <c r="AL39" s="6">
        <v>7</v>
      </c>
      <c r="AM39">
        <f t="shared" si="19"/>
        <v>5.9765625000000003E-2</v>
      </c>
      <c r="AN39">
        <f t="shared" si="30"/>
        <v>5.9765625000000003E-2</v>
      </c>
      <c r="AO39">
        <f t="shared" si="31"/>
        <v>5.9765625000000003E-2</v>
      </c>
      <c r="AP39">
        <f t="shared" si="32"/>
        <v>5.9765625000000003E-2</v>
      </c>
      <c r="AQ39">
        <f t="shared" si="33"/>
        <v>5.9765625000000003E-2</v>
      </c>
      <c r="AR39">
        <f t="shared" si="34"/>
        <v>5.9765625000000003E-2</v>
      </c>
      <c r="AT39" s="6">
        <v>7</v>
      </c>
      <c r="AU39" s="14">
        <f t="shared" si="18"/>
        <v>74.181818181818187</v>
      </c>
      <c r="AV39" s="14">
        <f t="shared" si="5"/>
        <v>74.181818181818187</v>
      </c>
      <c r="AW39" s="14">
        <f t="shared" si="6"/>
        <v>74.181818181818187</v>
      </c>
      <c r="AX39" s="14">
        <f t="shared" si="7"/>
        <v>74.181818181818187</v>
      </c>
      <c r="AY39" s="14">
        <f t="shared" si="8"/>
        <v>74.181818181818187</v>
      </c>
      <c r="AZ39" s="14">
        <f t="shared" si="20"/>
        <v>74.181818181818187</v>
      </c>
    </row>
    <row r="40" spans="1:52" x14ac:dyDescent="0.45">
      <c r="A40" s="6">
        <v>7.2</v>
      </c>
      <c r="B40" s="1">
        <v>105</v>
      </c>
      <c r="C40" s="1">
        <v>105</v>
      </c>
      <c r="D40" s="1">
        <v>105</v>
      </c>
      <c r="E40" s="1">
        <v>105</v>
      </c>
      <c r="F40" s="1">
        <v>105</v>
      </c>
      <c r="G40">
        <v>105</v>
      </c>
      <c r="H40" s="4">
        <v>44</v>
      </c>
      <c r="I40" s="4">
        <v>59.641306901342205</v>
      </c>
      <c r="K40" s="6">
        <v>37</v>
      </c>
      <c r="L40" s="6">
        <v>7.2</v>
      </c>
      <c r="M40" s="1">
        <f t="shared" si="9"/>
        <v>1454</v>
      </c>
      <c r="N40" s="1">
        <f t="shared" si="10"/>
        <v>1454</v>
      </c>
      <c r="O40" s="1">
        <f t="shared" si="11"/>
        <v>1454</v>
      </c>
      <c r="P40" s="1">
        <f t="shared" si="12"/>
        <v>1454</v>
      </c>
      <c r="Q40" s="1">
        <f t="shared" si="13"/>
        <v>1454</v>
      </c>
      <c r="R40" s="1">
        <f t="shared" si="14"/>
        <v>1454</v>
      </c>
      <c r="S40" s="1">
        <f t="shared" si="15"/>
        <v>1454</v>
      </c>
      <c r="T40" s="5">
        <f t="shared" si="35"/>
        <v>2000</v>
      </c>
      <c r="U40" s="2"/>
      <c r="V40" s="6">
        <v>7.2</v>
      </c>
      <c r="W40">
        <f t="shared" si="16"/>
        <v>6.15234375E-2</v>
      </c>
      <c r="X40">
        <f t="shared" si="21"/>
        <v>6.15234375E-2</v>
      </c>
      <c r="Y40">
        <f t="shared" si="22"/>
        <v>6.15234375E-2</v>
      </c>
      <c r="Z40">
        <f t="shared" si="23"/>
        <v>6.15234375E-2</v>
      </c>
      <c r="AA40">
        <f t="shared" si="24"/>
        <v>6.15234375E-2</v>
      </c>
      <c r="AB40">
        <f t="shared" si="25"/>
        <v>6.15234375E-2</v>
      </c>
      <c r="AD40" s="6">
        <v>7.2</v>
      </c>
      <c r="AE40" s="14">
        <f t="shared" si="17"/>
        <v>76.363636363636374</v>
      </c>
      <c r="AF40" s="14">
        <f t="shared" si="26"/>
        <v>76.363636363636374</v>
      </c>
      <c r="AG40" s="14">
        <f t="shared" si="27"/>
        <v>76.363636363636374</v>
      </c>
      <c r="AH40" s="14">
        <f t="shared" si="28"/>
        <v>76.363636363636374</v>
      </c>
      <c r="AI40" s="14">
        <f t="shared" si="29"/>
        <v>76.363636363636374</v>
      </c>
      <c r="AJ40" s="14">
        <f t="shared" si="29"/>
        <v>76.363636363636374</v>
      </c>
      <c r="AL40" s="6">
        <v>7.2</v>
      </c>
      <c r="AM40">
        <f t="shared" si="19"/>
        <v>6.1523437500000007E-2</v>
      </c>
      <c r="AN40">
        <f t="shared" si="30"/>
        <v>6.1523437500000007E-2</v>
      </c>
      <c r="AO40">
        <f t="shared" si="31"/>
        <v>6.1523437500000007E-2</v>
      </c>
      <c r="AP40">
        <f t="shared" si="32"/>
        <v>6.1523437500000007E-2</v>
      </c>
      <c r="AQ40">
        <f t="shared" si="33"/>
        <v>6.1523437500000007E-2</v>
      </c>
      <c r="AR40">
        <f t="shared" si="34"/>
        <v>6.1523437500000007E-2</v>
      </c>
      <c r="AT40" s="6">
        <v>7.2</v>
      </c>
      <c r="AU40" s="14">
        <f t="shared" si="18"/>
        <v>76.363636363636374</v>
      </c>
      <c r="AV40" s="14">
        <f t="shared" si="5"/>
        <v>76.363636363636374</v>
      </c>
      <c r="AW40" s="14">
        <f t="shared" si="6"/>
        <v>76.363636363636374</v>
      </c>
      <c r="AX40" s="14">
        <f t="shared" si="7"/>
        <v>76.363636363636374</v>
      </c>
      <c r="AY40" s="14">
        <f t="shared" si="8"/>
        <v>76.363636363636374</v>
      </c>
      <c r="AZ40" s="14">
        <f t="shared" si="20"/>
        <v>76.363636363636374</v>
      </c>
    </row>
    <row r="41" spans="1:52" x14ac:dyDescent="0.45">
      <c r="A41" s="6">
        <v>7.4</v>
      </c>
      <c r="B41" s="1">
        <v>108</v>
      </c>
      <c r="C41" s="1">
        <v>108</v>
      </c>
      <c r="D41" s="1">
        <v>108</v>
      </c>
      <c r="E41" s="1">
        <v>108</v>
      </c>
      <c r="F41" s="1">
        <v>108</v>
      </c>
      <c r="G41">
        <v>108</v>
      </c>
      <c r="H41" s="4">
        <v>45</v>
      </c>
      <c r="I41" s="4">
        <v>60.074399233956498</v>
      </c>
      <c r="K41" s="6">
        <v>38</v>
      </c>
      <c r="L41" s="6">
        <v>7.4</v>
      </c>
      <c r="M41" s="1">
        <f t="shared" si="9"/>
        <v>1454</v>
      </c>
      <c r="N41" s="1">
        <f t="shared" si="10"/>
        <v>1454</v>
      </c>
      <c r="O41" s="1">
        <f t="shared" si="11"/>
        <v>1454</v>
      </c>
      <c r="P41" s="1">
        <f t="shared" si="12"/>
        <v>1454</v>
      </c>
      <c r="Q41" s="1">
        <f t="shared" si="13"/>
        <v>1454</v>
      </c>
      <c r="R41" s="1">
        <f t="shared" si="14"/>
        <v>1454</v>
      </c>
      <c r="S41" s="1">
        <f t="shared" si="15"/>
        <v>1454</v>
      </c>
      <c r="T41" s="5">
        <f t="shared" si="35"/>
        <v>2000</v>
      </c>
      <c r="U41" s="2"/>
      <c r="V41" s="6">
        <v>7.4</v>
      </c>
      <c r="W41">
        <f t="shared" si="16"/>
        <v>6.3281249999999997E-2</v>
      </c>
      <c r="X41">
        <f t="shared" si="21"/>
        <v>6.3281249999999997E-2</v>
      </c>
      <c r="Y41">
        <f t="shared" si="22"/>
        <v>6.3281249999999997E-2</v>
      </c>
      <c r="Z41">
        <f t="shared" si="23"/>
        <v>6.3281249999999997E-2</v>
      </c>
      <c r="AA41">
        <f t="shared" si="24"/>
        <v>6.3281249999999997E-2</v>
      </c>
      <c r="AB41">
        <f t="shared" si="25"/>
        <v>6.3281249999999997E-2</v>
      </c>
      <c r="AD41" s="6">
        <v>7.4</v>
      </c>
      <c r="AE41" s="14">
        <f t="shared" si="17"/>
        <v>78.545454545454547</v>
      </c>
      <c r="AF41" s="14">
        <f t="shared" si="26"/>
        <v>78.545454545454547</v>
      </c>
      <c r="AG41" s="14">
        <f t="shared" si="27"/>
        <v>78.545454545454547</v>
      </c>
      <c r="AH41" s="14">
        <f t="shared" si="28"/>
        <v>78.545454545454547</v>
      </c>
      <c r="AI41" s="14">
        <f t="shared" si="29"/>
        <v>78.545454545454547</v>
      </c>
      <c r="AJ41" s="14">
        <f t="shared" si="29"/>
        <v>78.545454545454547</v>
      </c>
      <c r="AL41" s="6">
        <v>7.4</v>
      </c>
      <c r="AM41">
        <f t="shared" si="19"/>
        <v>6.3281249999999997E-2</v>
      </c>
      <c r="AN41">
        <f t="shared" si="30"/>
        <v>6.3281249999999997E-2</v>
      </c>
      <c r="AO41">
        <f t="shared" si="31"/>
        <v>6.3281249999999997E-2</v>
      </c>
      <c r="AP41">
        <f t="shared" si="32"/>
        <v>6.3281249999999997E-2</v>
      </c>
      <c r="AQ41">
        <f t="shared" si="33"/>
        <v>6.3281249999999997E-2</v>
      </c>
      <c r="AR41">
        <f t="shared" si="34"/>
        <v>6.3281249999999997E-2</v>
      </c>
      <c r="AT41" s="6">
        <v>7.4</v>
      </c>
      <c r="AU41" s="14">
        <f t="shared" si="18"/>
        <v>78.545454545454547</v>
      </c>
      <c r="AV41" s="14">
        <f t="shared" si="5"/>
        <v>78.545454545454547</v>
      </c>
      <c r="AW41" s="14">
        <f t="shared" si="6"/>
        <v>78.545454545454547</v>
      </c>
      <c r="AX41" s="14">
        <f t="shared" si="7"/>
        <v>78.545454545454547</v>
      </c>
      <c r="AY41" s="14">
        <f t="shared" si="8"/>
        <v>78.545454545454547</v>
      </c>
      <c r="AZ41" s="14">
        <f t="shared" si="20"/>
        <v>78.545454545454547</v>
      </c>
    </row>
    <row r="42" spans="1:52" x14ac:dyDescent="0.45">
      <c r="A42" s="6">
        <v>7.6</v>
      </c>
      <c r="B42" s="1">
        <v>111</v>
      </c>
      <c r="C42" s="1">
        <v>111</v>
      </c>
      <c r="D42" s="1">
        <v>111</v>
      </c>
      <c r="E42" s="1">
        <v>111</v>
      </c>
      <c r="F42" s="1">
        <v>111</v>
      </c>
      <c r="G42">
        <v>111</v>
      </c>
      <c r="H42" s="4">
        <v>45</v>
      </c>
      <c r="I42" s="4">
        <v>60.49624113314546</v>
      </c>
      <c r="K42" s="6">
        <v>39</v>
      </c>
      <c r="L42" s="6">
        <v>7.6</v>
      </c>
      <c r="M42" s="1">
        <f t="shared" si="9"/>
        <v>1454</v>
      </c>
      <c r="N42" s="1">
        <f t="shared" si="10"/>
        <v>1454</v>
      </c>
      <c r="O42" s="1">
        <f t="shared" si="11"/>
        <v>1454</v>
      </c>
      <c r="P42" s="1">
        <f t="shared" si="12"/>
        <v>1454</v>
      </c>
      <c r="Q42" s="1">
        <f t="shared" si="13"/>
        <v>1454</v>
      </c>
      <c r="R42" s="1">
        <f t="shared" si="14"/>
        <v>1454</v>
      </c>
      <c r="S42" s="1">
        <f t="shared" si="15"/>
        <v>1454</v>
      </c>
      <c r="T42" s="5">
        <f t="shared" si="35"/>
        <v>2000</v>
      </c>
      <c r="U42" s="2"/>
      <c r="V42" s="6">
        <v>7.6</v>
      </c>
      <c r="W42">
        <f t="shared" si="16"/>
        <v>6.5039062499999994E-2</v>
      </c>
      <c r="X42">
        <f t="shared" si="21"/>
        <v>6.5039062499999994E-2</v>
      </c>
      <c r="Y42">
        <f t="shared" si="22"/>
        <v>6.5039062499999994E-2</v>
      </c>
      <c r="Z42">
        <f t="shared" si="23"/>
        <v>6.5039062499999994E-2</v>
      </c>
      <c r="AA42">
        <f t="shared" si="24"/>
        <v>6.5039062499999994E-2</v>
      </c>
      <c r="AB42">
        <f t="shared" si="25"/>
        <v>6.5039062499999994E-2</v>
      </c>
      <c r="AD42" s="6">
        <v>7.6</v>
      </c>
      <c r="AE42" s="14">
        <f t="shared" si="17"/>
        <v>80.72727272727272</v>
      </c>
      <c r="AF42" s="14">
        <f t="shared" si="26"/>
        <v>80.72727272727272</v>
      </c>
      <c r="AG42" s="14">
        <f t="shared" si="27"/>
        <v>80.72727272727272</v>
      </c>
      <c r="AH42" s="14">
        <f t="shared" si="28"/>
        <v>80.72727272727272</v>
      </c>
      <c r="AI42" s="14">
        <f t="shared" si="29"/>
        <v>80.72727272727272</v>
      </c>
      <c r="AJ42" s="14">
        <f t="shared" si="29"/>
        <v>80.72727272727272</v>
      </c>
      <c r="AL42" s="6">
        <v>7.6</v>
      </c>
      <c r="AM42">
        <f t="shared" si="19"/>
        <v>6.5039062499999994E-2</v>
      </c>
      <c r="AN42">
        <f t="shared" si="30"/>
        <v>6.5039062499999994E-2</v>
      </c>
      <c r="AO42">
        <f t="shared" si="31"/>
        <v>6.5039062499999994E-2</v>
      </c>
      <c r="AP42">
        <f t="shared" si="32"/>
        <v>6.5039062499999994E-2</v>
      </c>
      <c r="AQ42">
        <f t="shared" si="33"/>
        <v>6.5039062499999994E-2</v>
      </c>
      <c r="AR42">
        <f t="shared" si="34"/>
        <v>6.5039062499999994E-2</v>
      </c>
      <c r="AT42" s="6">
        <v>7.6</v>
      </c>
      <c r="AU42" s="14">
        <f t="shared" si="18"/>
        <v>80.72727272727272</v>
      </c>
      <c r="AV42" s="14">
        <f t="shared" si="5"/>
        <v>80.72727272727272</v>
      </c>
      <c r="AW42" s="14">
        <f t="shared" si="6"/>
        <v>80.72727272727272</v>
      </c>
      <c r="AX42" s="14">
        <f t="shared" si="7"/>
        <v>80.72727272727272</v>
      </c>
      <c r="AY42" s="14">
        <f t="shared" si="8"/>
        <v>80.72727272727272</v>
      </c>
      <c r="AZ42" s="14">
        <f t="shared" si="20"/>
        <v>80.72727272727272</v>
      </c>
    </row>
    <row r="43" spans="1:52" x14ac:dyDescent="0.45">
      <c r="A43" s="6">
        <v>7.8</v>
      </c>
      <c r="B43" s="1">
        <v>113</v>
      </c>
      <c r="C43" s="1">
        <v>113</v>
      </c>
      <c r="D43" s="1">
        <v>113</v>
      </c>
      <c r="E43" s="1">
        <v>113</v>
      </c>
      <c r="F43" s="1">
        <v>113</v>
      </c>
      <c r="G43">
        <v>113</v>
      </c>
      <c r="H43" s="4">
        <v>45</v>
      </c>
      <c r="I43" s="4">
        <v>60.907402334810321</v>
      </c>
      <c r="K43" s="6">
        <v>40</v>
      </c>
      <c r="L43" s="6">
        <v>7.8</v>
      </c>
      <c r="M43" s="1">
        <f t="shared" si="9"/>
        <v>1454</v>
      </c>
      <c r="N43" s="1">
        <f t="shared" si="10"/>
        <v>1454</v>
      </c>
      <c r="O43" s="1">
        <f t="shared" si="11"/>
        <v>1454</v>
      </c>
      <c r="P43" s="1">
        <f t="shared" si="12"/>
        <v>1454</v>
      </c>
      <c r="Q43" s="1">
        <f t="shared" si="13"/>
        <v>1454</v>
      </c>
      <c r="R43" s="1">
        <f t="shared" si="14"/>
        <v>1454</v>
      </c>
      <c r="S43" s="1">
        <f t="shared" si="15"/>
        <v>1454</v>
      </c>
      <c r="T43" s="5">
        <f t="shared" si="35"/>
        <v>2000</v>
      </c>
      <c r="U43" s="2"/>
      <c r="V43" s="6">
        <v>7.8</v>
      </c>
      <c r="W43">
        <f t="shared" si="16"/>
        <v>6.6210937499999997E-2</v>
      </c>
      <c r="X43">
        <f t="shared" si="21"/>
        <v>6.6210937499999997E-2</v>
      </c>
      <c r="Y43">
        <f t="shared" si="22"/>
        <v>6.6210937499999997E-2</v>
      </c>
      <c r="Z43">
        <f t="shared" si="23"/>
        <v>6.6210937499999997E-2</v>
      </c>
      <c r="AA43">
        <f t="shared" si="24"/>
        <v>6.6210937499999997E-2</v>
      </c>
      <c r="AB43">
        <f t="shared" si="25"/>
        <v>6.6210937499999997E-2</v>
      </c>
      <c r="AD43" s="6">
        <v>7.8</v>
      </c>
      <c r="AE43" s="14">
        <f t="shared" si="17"/>
        <v>82.181818181818187</v>
      </c>
      <c r="AF43" s="14">
        <f t="shared" si="26"/>
        <v>82.181818181818187</v>
      </c>
      <c r="AG43" s="14">
        <f t="shared" si="27"/>
        <v>82.181818181818187</v>
      </c>
      <c r="AH43" s="14">
        <f t="shared" si="28"/>
        <v>82.181818181818187</v>
      </c>
      <c r="AI43" s="14">
        <f t="shared" si="29"/>
        <v>82.181818181818187</v>
      </c>
      <c r="AJ43" s="14">
        <f t="shared" si="29"/>
        <v>82.181818181818187</v>
      </c>
      <c r="AL43" s="6">
        <v>7.8</v>
      </c>
      <c r="AM43">
        <f t="shared" si="19"/>
        <v>6.6210937499999997E-2</v>
      </c>
      <c r="AN43">
        <f t="shared" si="30"/>
        <v>6.6210937499999997E-2</v>
      </c>
      <c r="AO43">
        <f t="shared" si="31"/>
        <v>6.6210937499999997E-2</v>
      </c>
      <c r="AP43">
        <f t="shared" si="32"/>
        <v>6.6210937499999997E-2</v>
      </c>
      <c r="AQ43">
        <f t="shared" si="33"/>
        <v>6.6210937499999997E-2</v>
      </c>
      <c r="AR43">
        <f t="shared" si="34"/>
        <v>6.6210937499999997E-2</v>
      </c>
      <c r="AT43" s="6">
        <v>7.8</v>
      </c>
      <c r="AU43" s="14">
        <f t="shared" si="18"/>
        <v>82.181818181818187</v>
      </c>
      <c r="AV43" s="14">
        <f t="shared" si="5"/>
        <v>82.181818181818187</v>
      </c>
      <c r="AW43" s="14">
        <f t="shared" si="6"/>
        <v>82.181818181818187</v>
      </c>
      <c r="AX43" s="14">
        <f t="shared" si="7"/>
        <v>82.181818181818187</v>
      </c>
      <c r="AY43" s="14">
        <f t="shared" si="8"/>
        <v>82.181818181818187</v>
      </c>
      <c r="AZ43" s="14">
        <f t="shared" si="20"/>
        <v>82.181818181818187</v>
      </c>
    </row>
    <row r="44" spans="1:52" x14ac:dyDescent="0.45">
      <c r="A44" s="6">
        <v>8</v>
      </c>
      <c r="B44" s="1">
        <v>116</v>
      </c>
      <c r="C44" s="1">
        <v>116</v>
      </c>
      <c r="D44" s="1">
        <v>116</v>
      </c>
      <c r="E44" s="1">
        <v>116</v>
      </c>
      <c r="F44" s="1">
        <v>116</v>
      </c>
      <c r="G44">
        <v>116</v>
      </c>
      <c r="H44" s="4">
        <v>45</v>
      </c>
      <c r="I44" s="4">
        <v>61.308410363277964</v>
      </c>
      <c r="K44" s="6">
        <v>41</v>
      </c>
      <c r="L44" s="6">
        <v>8</v>
      </c>
      <c r="M44" s="1">
        <f t="shared" si="9"/>
        <v>1454</v>
      </c>
      <c r="N44" s="1">
        <f t="shared" si="10"/>
        <v>1454</v>
      </c>
      <c r="O44" s="1">
        <f t="shared" si="11"/>
        <v>1454</v>
      </c>
      <c r="P44" s="1">
        <f t="shared" si="12"/>
        <v>1454</v>
      </c>
      <c r="Q44" s="1">
        <f t="shared" si="13"/>
        <v>1454</v>
      </c>
      <c r="R44" s="1">
        <f t="shared" si="14"/>
        <v>1454</v>
      </c>
      <c r="S44" s="1">
        <f t="shared" si="15"/>
        <v>1454</v>
      </c>
      <c r="T44" s="5">
        <f t="shared" si="35"/>
        <v>2000</v>
      </c>
      <c r="U44" s="2"/>
      <c r="V44" s="6">
        <v>8</v>
      </c>
      <c r="W44">
        <f t="shared" si="16"/>
        <v>6.7968749999999994E-2</v>
      </c>
      <c r="X44">
        <f t="shared" si="21"/>
        <v>6.7968749999999994E-2</v>
      </c>
      <c r="Y44">
        <f t="shared" si="22"/>
        <v>6.7968749999999994E-2</v>
      </c>
      <c r="Z44">
        <f t="shared" si="23"/>
        <v>6.7968749999999994E-2</v>
      </c>
      <c r="AA44">
        <f t="shared" si="24"/>
        <v>6.7968749999999994E-2</v>
      </c>
      <c r="AB44">
        <f t="shared" si="25"/>
        <v>6.7968749999999994E-2</v>
      </c>
      <c r="AD44" s="6">
        <v>8</v>
      </c>
      <c r="AE44" s="14">
        <f t="shared" si="17"/>
        <v>84.36363636363636</v>
      </c>
      <c r="AF44" s="14">
        <f t="shared" si="26"/>
        <v>84.36363636363636</v>
      </c>
      <c r="AG44" s="14">
        <f t="shared" si="27"/>
        <v>84.36363636363636</v>
      </c>
      <c r="AH44" s="14">
        <f t="shared" si="28"/>
        <v>84.36363636363636</v>
      </c>
      <c r="AI44" s="14">
        <f t="shared" si="29"/>
        <v>84.36363636363636</v>
      </c>
      <c r="AJ44" s="14">
        <f t="shared" si="29"/>
        <v>84.36363636363636</v>
      </c>
      <c r="AL44" s="6">
        <v>8</v>
      </c>
      <c r="AM44">
        <f t="shared" si="19"/>
        <v>6.7968749999999994E-2</v>
      </c>
      <c r="AN44">
        <f t="shared" si="30"/>
        <v>6.7968749999999994E-2</v>
      </c>
      <c r="AO44">
        <f t="shared" si="31"/>
        <v>6.7968749999999994E-2</v>
      </c>
      <c r="AP44">
        <f t="shared" si="32"/>
        <v>6.7968749999999994E-2</v>
      </c>
      <c r="AQ44">
        <f t="shared" si="33"/>
        <v>6.7968749999999994E-2</v>
      </c>
      <c r="AR44">
        <f t="shared" si="34"/>
        <v>6.7968749999999994E-2</v>
      </c>
      <c r="AT44" s="6">
        <v>8</v>
      </c>
      <c r="AU44" s="14">
        <f t="shared" si="18"/>
        <v>84.36363636363636</v>
      </c>
      <c r="AV44" s="14">
        <f t="shared" si="5"/>
        <v>84.36363636363636</v>
      </c>
      <c r="AW44" s="14">
        <f t="shared" si="6"/>
        <v>84.36363636363636</v>
      </c>
      <c r="AX44" s="14">
        <f t="shared" si="7"/>
        <v>84.36363636363636</v>
      </c>
      <c r="AY44" s="14">
        <f t="shared" si="8"/>
        <v>84.36363636363636</v>
      </c>
      <c r="AZ44" s="14">
        <f t="shared" si="20"/>
        <v>84.36363636363636</v>
      </c>
    </row>
    <row r="45" spans="1:52" x14ac:dyDescent="0.45">
      <c r="A45" s="6">
        <v>8.1999999999999993</v>
      </c>
      <c r="B45" s="1">
        <v>119</v>
      </c>
      <c r="C45" s="1">
        <v>119</v>
      </c>
      <c r="D45" s="1">
        <v>119</v>
      </c>
      <c r="E45" s="1">
        <v>119</v>
      </c>
      <c r="F45" s="1">
        <v>119</v>
      </c>
      <c r="G45">
        <v>119</v>
      </c>
      <c r="H45" s="4">
        <v>46</v>
      </c>
      <c r="I45" s="4">
        <v>61.699754600921906</v>
      </c>
      <c r="K45" s="6">
        <v>42</v>
      </c>
      <c r="L45" s="6">
        <v>8.1999999999999993</v>
      </c>
      <c r="M45" s="1">
        <f t="shared" si="9"/>
        <v>1454</v>
      </c>
      <c r="N45" s="1">
        <f t="shared" si="10"/>
        <v>1454</v>
      </c>
      <c r="O45" s="1">
        <f t="shared" si="11"/>
        <v>1454</v>
      </c>
      <c r="P45" s="1">
        <f t="shared" si="12"/>
        <v>1454</v>
      </c>
      <c r="Q45" s="1">
        <f t="shared" si="13"/>
        <v>1454</v>
      </c>
      <c r="R45" s="1">
        <f t="shared" si="14"/>
        <v>1454</v>
      </c>
      <c r="S45" s="1">
        <f t="shared" si="15"/>
        <v>1454</v>
      </c>
      <c r="T45" s="5">
        <f t="shared" si="35"/>
        <v>2000</v>
      </c>
      <c r="U45" s="2"/>
      <c r="V45" s="6">
        <v>8.1999999999999993</v>
      </c>
      <c r="W45">
        <f t="shared" si="16"/>
        <v>6.9726562499999992E-2</v>
      </c>
      <c r="X45">
        <f t="shared" si="21"/>
        <v>6.9726562499999992E-2</v>
      </c>
      <c r="Y45">
        <f t="shared" si="22"/>
        <v>6.9726562499999992E-2</v>
      </c>
      <c r="Z45">
        <f t="shared" si="23"/>
        <v>6.9726562499999992E-2</v>
      </c>
      <c r="AA45">
        <f t="shared" si="24"/>
        <v>6.9726562499999992E-2</v>
      </c>
      <c r="AB45">
        <f t="shared" si="25"/>
        <v>6.9726562499999992E-2</v>
      </c>
      <c r="AD45" s="6">
        <v>8.1999999999999993</v>
      </c>
      <c r="AE45" s="14">
        <f t="shared" si="17"/>
        <v>86.545454545454547</v>
      </c>
      <c r="AF45" s="14">
        <f t="shared" si="26"/>
        <v>86.545454545454547</v>
      </c>
      <c r="AG45" s="14">
        <f t="shared" si="27"/>
        <v>86.545454545454547</v>
      </c>
      <c r="AH45" s="14">
        <f t="shared" si="28"/>
        <v>86.545454545454547</v>
      </c>
      <c r="AI45" s="14">
        <f t="shared" si="29"/>
        <v>86.545454545454547</v>
      </c>
      <c r="AJ45" s="14">
        <f t="shared" si="29"/>
        <v>86.545454545454547</v>
      </c>
      <c r="AL45" s="6">
        <v>8.1999999999999993</v>
      </c>
      <c r="AM45">
        <f t="shared" si="19"/>
        <v>6.9726562499999992E-2</v>
      </c>
      <c r="AN45">
        <f t="shared" si="30"/>
        <v>6.9726562499999992E-2</v>
      </c>
      <c r="AO45">
        <f t="shared" si="31"/>
        <v>6.9726562499999992E-2</v>
      </c>
      <c r="AP45">
        <f t="shared" si="32"/>
        <v>6.9726562499999992E-2</v>
      </c>
      <c r="AQ45">
        <f t="shared" si="33"/>
        <v>6.9726562499999992E-2</v>
      </c>
      <c r="AR45">
        <f t="shared" si="34"/>
        <v>6.9726562499999992E-2</v>
      </c>
      <c r="AT45" s="6">
        <v>8.1999999999999993</v>
      </c>
      <c r="AU45" s="14">
        <f t="shared" si="18"/>
        <v>86.545454545454547</v>
      </c>
      <c r="AV45" s="14">
        <f t="shared" si="5"/>
        <v>86.545454545454547</v>
      </c>
      <c r="AW45" s="14">
        <f t="shared" si="6"/>
        <v>86.545454545454547</v>
      </c>
      <c r="AX45" s="14">
        <f t="shared" si="7"/>
        <v>86.545454545454547</v>
      </c>
      <c r="AY45" s="14">
        <f t="shared" si="8"/>
        <v>86.545454545454547</v>
      </c>
      <c r="AZ45" s="14">
        <f t="shared" si="20"/>
        <v>86.545454545454547</v>
      </c>
    </row>
    <row r="46" spans="1:52" x14ac:dyDescent="0.45">
      <c r="A46" s="6">
        <v>8.4</v>
      </c>
      <c r="B46" s="1">
        <v>122</v>
      </c>
      <c r="C46" s="1">
        <v>122</v>
      </c>
      <c r="D46" s="1">
        <v>122</v>
      </c>
      <c r="E46" s="1">
        <v>122</v>
      </c>
      <c r="F46" s="1">
        <v>122</v>
      </c>
      <c r="G46">
        <v>122</v>
      </c>
      <c r="H46" s="4">
        <v>46</v>
      </c>
      <c r="I46" s="4">
        <v>62.08188987886345</v>
      </c>
      <c r="K46" s="6">
        <v>43</v>
      </c>
      <c r="L46" s="6">
        <v>8.4</v>
      </c>
      <c r="M46" s="1">
        <f t="shared" si="9"/>
        <v>1454</v>
      </c>
      <c r="N46" s="1">
        <f t="shared" si="10"/>
        <v>1454</v>
      </c>
      <c r="O46" s="1">
        <f t="shared" si="11"/>
        <v>1454</v>
      </c>
      <c r="P46" s="1">
        <f t="shared" si="12"/>
        <v>1454</v>
      </c>
      <c r="Q46" s="1">
        <f t="shared" si="13"/>
        <v>1454</v>
      </c>
      <c r="R46" s="1">
        <f t="shared" si="14"/>
        <v>1454</v>
      </c>
      <c r="S46" s="1">
        <f t="shared" si="15"/>
        <v>1454</v>
      </c>
      <c r="T46" s="5">
        <f t="shared" si="35"/>
        <v>2000</v>
      </c>
      <c r="U46" s="2"/>
      <c r="V46" s="6">
        <v>8.4</v>
      </c>
      <c r="W46">
        <f t="shared" si="16"/>
        <v>7.1484375000000003E-2</v>
      </c>
      <c r="X46">
        <f t="shared" si="21"/>
        <v>7.1484375000000003E-2</v>
      </c>
      <c r="Y46">
        <f t="shared" si="22"/>
        <v>7.1484375000000003E-2</v>
      </c>
      <c r="Z46">
        <f t="shared" si="23"/>
        <v>7.1484375000000003E-2</v>
      </c>
      <c r="AA46">
        <f t="shared" si="24"/>
        <v>7.1484375000000003E-2</v>
      </c>
      <c r="AB46">
        <f t="shared" si="25"/>
        <v>7.1484375000000003E-2</v>
      </c>
      <c r="AD46" s="6">
        <v>8.4</v>
      </c>
      <c r="AE46" s="14">
        <f t="shared" si="17"/>
        <v>88.727272727272734</v>
      </c>
      <c r="AF46" s="14">
        <f t="shared" si="26"/>
        <v>88.727272727272734</v>
      </c>
      <c r="AG46" s="14">
        <f t="shared" si="27"/>
        <v>88.727272727272734</v>
      </c>
      <c r="AH46" s="14">
        <f t="shared" si="28"/>
        <v>88.727272727272734</v>
      </c>
      <c r="AI46" s="14">
        <f t="shared" si="29"/>
        <v>88.727272727272734</v>
      </c>
      <c r="AJ46" s="14">
        <f t="shared" si="29"/>
        <v>88.727272727272734</v>
      </c>
      <c r="AL46" s="6">
        <v>8.4</v>
      </c>
      <c r="AM46">
        <f t="shared" si="19"/>
        <v>7.1484375000000003E-2</v>
      </c>
      <c r="AN46">
        <f t="shared" si="30"/>
        <v>7.1484375000000003E-2</v>
      </c>
      <c r="AO46">
        <f t="shared" si="31"/>
        <v>7.1484375000000003E-2</v>
      </c>
      <c r="AP46">
        <f t="shared" si="32"/>
        <v>7.1484375000000003E-2</v>
      </c>
      <c r="AQ46">
        <f t="shared" si="33"/>
        <v>7.1484375000000003E-2</v>
      </c>
      <c r="AR46">
        <f t="shared" si="34"/>
        <v>7.1484375000000003E-2</v>
      </c>
      <c r="AT46" s="6">
        <v>8.4</v>
      </c>
      <c r="AU46" s="14">
        <f t="shared" si="18"/>
        <v>88.727272727272734</v>
      </c>
      <c r="AV46" s="14">
        <f t="shared" si="5"/>
        <v>88.727272727272734</v>
      </c>
      <c r="AW46" s="14">
        <f t="shared" si="6"/>
        <v>88.727272727272734</v>
      </c>
      <c r="AX46" s="14">
        <f t="shared" si="7"/>
        <v>88.727272727272734</v>
      </c>
      <c r="AY46" s="14">
        <f t="shared" si="8"/>
        <v>88.727272727272734</v>
      </c>
      <c r="AZ46" s="14">
        <f t="shared" si="20"/>
        <v>88.727272727272734</v>
      </c>
    </row>
    <row r="47" spans="1:52" x14ac:dyDescent="0.45">
      <c r="A47" s="6">
        <v>8.6</v>
      </c>
      <c r="B47" s="1">
        <v>125</v>
      </c>
      <c r="C47" s="1">
        <v>125</v>
      </c>
      <c r="D47" s="1">
        <v>125</v>
      </c>
      <c r="E47" s="1">
        <v>125</v>
      </c>
      <c r="F47" s="1">
        <v>125</v>
      </c>
      <c r="G47">
        <v>125</v>
      </c>
      <c r="H47" s="4">
        <v>46</v>
      </c>
      <c r="I47" s="4">
        <v>62.45523965483256</v>
      </c>
      <c r="K47" s="6">
        <v>44</v>
      </c>
      <c r="L47" s="6">
        <v>8.6</v>
      </c>
      <c r="M47" s="1">
        <f t="shared" si="9"/>
        <v>1454</v>
      </c>
      <c r="N47" s="1">
        <f t="shared" si="10"/>
        <v>1454</v>
      </c>
      <c r="O47" s="1">
        <f t="shared" si="11"/>
        <v>1454</v>
      </c>
      <c r="P47" s="1">
        <f t="shared" si="12"/>
        <v>1454</v>
      </c>
      <c r="Q47" s="1">
        <f t="shared" si="13"/>
        <v>1454</v>
      </c>
      <c r="R47" s="1">
        <f t="shared" si="14"/>
        <v>1454</v>
      </c>
      <c r="S47" s="1">
        <f t="shared" si="15"/>
        <v>1454</v>
      </c>
      <c r="T47" s="5">
        <f t="shared" si="35"/>
        <v>2000</v>
      </c>
      <c r="U47" s="2"/>
      <c r="V47" s="6">
        <v>8.6</v>
      </c>
      <c r="W47">
        <f t="shared" si="16"/>
        <v>7.32421875E-2</v>
      </c>
      <c r="X47">
        <f t="shared" si="21"/>
        <v>7.32421875E-2</v>
      </c>
      <c r="Y47">
        <f t="shared" si="22"/>
        <v>7.32421875E-2</v>
      </c>
      <c r="Z47">
        <f t="shared" si="23"/>
        <v>7.32421875E-2</v>
      </c>
      <c r="AA47">
        <f t="shared" si="24"/>
        <v>7.32421875E-2</v>
      </c>
      <c r="AB47">
        <f t="shared" si="25"/>
        <v>7.32421875E-2</v>
      </c>
      <c r="AD47" s="6">
        <v>8.6</v>
      </c>
      <c r="AE47" s="14">
        <f t="shared" si="17"/>
        <v>90.909090909090921</v>
      </c>
      <c r="AF47" s="14">
        <f t="shared" si="26"/>
        <v>90.909090909090921</v>
      </c>
      <c r="AG47" s="14">
        <f t="shared" si="27"/>
        <v>90.909090909090921</v>
      </c>
      <c r="AH47" s="14">
        <f t="shared" si="28"/>
        <v>90.909090909090921</v>
      </c>
      <c r="AI47" s="14">
        <f t="shared" si="29"/>
        <v>90.909090909090921</v>
      </c>
      <c r="AJ47" s="14">
        <f t="shared" si="29"/>
        <v>90.909090909090921</v>
      </c>
      <c r="AL47" s="6">
        <v>8.6</v>
      </c>
      <c r="AM47">
        <f t="shared" si="19"/>
        <v>7.32421875E-2</v>
      </c>
      <c r="AN47">
        <f t="shared" si="30"/>
        <v>7.32421875E-2</v>
      </c>
      <c r="AO47">
        <f t="shared" si="31"/>
        <v>7.32421875E-2</v>
      </c>
      <c r="AP47">
        <f t="shared" si="32"/>
        <v>7.32421875E-2</v>
      </c>
      <c r="AQ47">
        <f t="shared" si="33"/>
        <v>7.32421875E-2</v>
      </c>
      <c r="AR47">
        <f t="shared" si="34"/>
        <v>7.32421875E-2</v>
      </c>
      <c r="AT47" s="6">
        <v>8.6</v>
      </c>
      <c r="AU47" s="14">
        <f t="shared" si="18"/>
        <v>90.909090909090921</v>
      </c>
      <c r="AV47" s="14">
        <f t="shared" si="5"/>
        <v>90.909090909090921</v>
      </c>
      <c r="AW47" s="14">
        <f t="shared" si="6"/>
        <v>90.909090909090921</v>
      </c>
      <c r="AX47" s="14">
        <f t="shared" si="7"/>
        <v>90.909090909090921</v>
      </c>
      <c r="AY47" s="14">
        <f t="shared" si="8"/>
        <v>90.909090909090921</v>
      </c>
      <c r="AZ47" s="14">
        <f t="shared" si="20"/>
        <v>90.909090909090921</v>
      </c>
    </row>
    <row r="48" spans="1:52" x14ac:dyDescent="0.45">
      <c r="A48" s="6">
        <v>8.8000000000000007</v>
      </c>
      <c r="B48" s="1">
        <v>128</v>
      </c>
      <c r="C48" s="1">
        <v>128</v>
      </c>
      <c r="D48" s="1">
        <v>128</v>
      </c>
      <c r="E48" s="1">
        <v>128</v>
      </c>
      <c r="F48" s="1">
        <v>128</v>
      </c>
      <c r="G48">
        <v>128</v>
      </c>
      <c r="H48" s="4">
        <v>46</v>
      </c>
      <c r="I48" s="4">
        <v>62.820198833869988</v>
      </c>
      <c r="K48" s="6">
        <v>45</v>
      </c>
      <c r="L48" s="6">
        <v>8.8000000000000007</v>
      </c>
      <c r="M48" s="1">
        <f t="shared" si="9"/>
        <v>1454</v>
      </c>
      <c r="N48" s="1">
        <f t="shared" si="10"/>
        <v>1454</v>
      </c>
      <c r="O48" s="1">
        <f t="shared" si="11"/>
        <v>1454</v>
      </c>
      <c r="P48" s="1">
        <f t="shared" si="12"/>
        <v>1454</v>
      </c>
      <c r="Q48" s="1">
        <f t="shared" si="13"/>
        <v>1454</v>
      </c>
      <c r="R48" s="1">
        <f t="shared" si="14"/>
        <v>1454</v>
      </c>
      <c r="S48" s="1">
        <f t="shared" si="15"/>
        <v>1454</v>
      </c>
      <c r="T48" s="5">
        <f t="shared" si="35"/>
        <v>2000</v>
      </c>
      <c r="U48" s="2"/>
      <c r="V48" s="6">
        <v>8.8000000000000007</v>
      </c>
      <c r="W48">
        <f t="shared" si="16"/>
        <v>7.4999999999999997E-2</v>
      </c>
      <c r="X48">
        <f t="shared" si="21"/>
        <v>7.4999999999999997E-2</v>
      </c>
      <c r="Y48">
        <f t="shared" si="22"/>
        <v>7.4999999999999997E-2</v>
      </c>
      <c r="Z48">
        <f t="shared" si="23"/>
        <v>7.4999999999999997E-2</v>
      </c>
      <c r="AA48">
        <f t="shared" si="24"/>
        <v>7.4999999999999997E-2</v>
      </c>
      <c r="AB48">
        <f t="shared" si="25"/>
        <v>7.4999999999999997E-2</v>
      </c>
      <c r="AD48" s="6">
        <v>8.8000000000000007</v>
      </c>
      <c r="AE48" s="14">
        <f t="shared" si="17"/>
        <v>93.090909090909093</v>
      </c>
      <c r="AF48" s="14">
        <f t="shared" si="26"/>
        <v>93.090909090909093</v>
      </c>
      <c r="AG48" s="14">
        <f t="shared" si="27"/>
        <v>93.090909090909093</v>
      </c>
      <c r="AH48" s="14">
        <f t="shared" si="28"/>
        <v>93.090909090909093</v>
      </c>
      <c r="AI48" s="14">
        <f t="shared" si="29"/>
        <v>93.090909090909093</v>
      </c>
      <c r="AJ48" s="14">
        <f t="shared" si="29"/>
        <v>93.090909090909093</v>
      </c>
      <c r="AL48" s="6">
        <v>8.8000000000000007</v>
      </c>
      <c r="AM48">
        <f t="shared" si="19"/>
        <v>7.4999999999999997E-2</v>
      </c>
      <c r="AN48">
        <f t="shared" si="30"/>
        <v>7.4999999999999997E-2</v>
      </c>
      <c r="AO48">
        <f t="shared" si="31"/>
        <v>7.4999999999999997E-2</v>
      </c>
      <c r="AP48">
        <f t="shared" si="32"/>
        <v>7.4999999999999997E-2</v>
      </c>
      <c r="AQ48">
        <f t="shared" si="33"/>
        <v>7.4999999999999997E-2</v>
      </c>
      <c r="AR48">
        <f t="shared" si="34"/>
        <v>7.4999999999999997E-2</v>
      </c>
      <c r="AT48" s="6">
        <v>8.8000000000000007</v>
      </c>
      <c r="AU48" s="14">
        <f t="shared" si="18"/>
        <v>93.090909090909093</v>
      </c>
      <c r="AV48" s="14">
        <f t="shared" si="5"/>
        <v>93.090909090909093</v>
      </c>
      <c r="AW48" s="14">
        <f t="shared" si="6"/>
        <v>93.090909090909093</v>
      </c>
      <c r="AX48" s="14">
        <f t="shared" si="7"/>
        <v>93.090909090909093</v>
      </c>
      <c r="AY48" s="14">
        <f t="shared" si="8"/>
        <v>93.090909090909093</v>
      </c>
      <c r="AZ48" s="14">
        <f t="shared" si="20"/>
        <v>93.090909090909093</v>
      </c>
    </row>
    <row r="49" spans="1:52" x14ac:dyDescent="0.45">
      <c r="A49" s="6">
        <v>9</v>
      </c>
      <c r="B49" s="1">
        <v>131</v>
      </c>
      <c r="C49" s="1">
        <v>131</v>
      </c>
      <c r="D49" s="1">
        <v>131</v>
      </c>
      <c r="E49" s="1">
        <v>131</v>
      </c>
      <c r="F49" s="1">
        <v>131</v>
      </c>
      <c r="G49">
        <v>131</v>
      </c>
      <c r="H49" s="4">
        <v>47</v>
      </c>
      <c r="I49" s="4">
        <v>63.177136278982907</v>
      </c>
      <c r="K49" s="6">
        <v>46</v>
      </c>
      <c r="L49" s="6">
        <v>9</v>
      </c>
      <c r="M49" s="1">
        <f t="shared" si="9"/>
        <v>1454</v>
      </c>
      <c r="N49" s="1">
        <f t="shared" si="10"/>
        <v>1454</v>
      </c>
      <c r="O49" s="1">
        <f t="shared" si="11"/>
        <v>1454</v>
      </c>
      <c r="P49" s="1">
        <f t="shared" si="12"/>
        <v>1454</v>
      </c>
      <c r="Q49" s="1">
        <f t="shared" si="13"/>
        <v>1454</v>
      </c>
      <c r="R49" s="1">
        <f t="shared" si="14"/>
        <v>1454</v>
      </c>
      <c r="S49" s="1">
        <f t="shared" si="15"/>
        <v>1454</v>
      </c>
      <c r="T49" s="5">
        <f t="shared" si="35"/>
        <v>2000</v>
      </c>
      <c r="U49" s="2"/>
      <c r="V49" s="6">
        <v>9</v>
      </c>
      <c r="W49">
        <f t="shared" si="16"/>
        <v>7.6757812499999994E-2</v>
      </c>
      <c r="X49">
        <f t="shared" si="21"/>
        <v>7.6757812499999994E-2</v>
      </c>
      <c r="Y49">
        <f t="shared" si="22"/>
        <v>7.6757812499999994E-2</v>
      </c>
      <c r="Z49">
        <f t="shared" si="23"/>
        <v>7.6757812499999994E-2</v>
      </c>
      <c r="AA49">
        <f t="shared" si="24"/>
        <v>7.6757812499999994E-2</v>
      </c>
      <c r="AB49">
        <f t="shared" si="25"/>
        <v>7.6757812499999994E-2</v>
      </c>
      <c r="AD49" s="6">
        <v>9</v>
      </c>
      <c r="AE49" s="14">
        <f t="shared" si="17"/>
        <v>95.272727272727266</v>
      </c>
      <c r="AF49" s="14">
        <f t="shared" si="26"/>
        <v>95.272727272727266</v>
      </c>
      <c r="AG49" s="14">
        <f t="shared" si="27"/>
        <v>95.272727272727266</v>
      </c>
      <c r="AH49" s="14">
        <f t="shared" si="28"/>
        <v>95.272727272727266</v>
      </c>
      <c r="AI49" s="14">
        <f t="shared" si="29"/>
        <v>95.272727272727266</v>
      </c>
      <c r="AJ49" s="14">
        <f t="shared" si="29"/>
        <v>95.272727272727266</v>
      </c>
      <c r="AL49" s="6">
        <v>9</v>
      </c>
      <c r="AM49">
        <f t="shared" si="19"/>
        <v>7.6757812499999994E-2</v>
      </c>
      <c r="AN49">
        <f t="shared" si="30"/>
        <v>7.6757812499999994E-2</v>
      </c>
      <c r="AO49">
        <f t="shared" si="31"/>
        <v>7.6757812499999994E-2</v>
      </c>
      <c r="AP49">
        <f t="shared" si="32"/>
        <v>7.6757812499999994E-2</v>
      </c>
      <c r="AQ49">
        <f t="shared" si="33"/>
        <v>7.6757812499999994E-2</v>
      </c>
      <c r="AR49">
        <f t="shared" si="34"/>
        <v>7.6757812499999994E-2</v>
      </c>
      <c r="AT49" s="6">
        <v>9</v>
      </c>
      <c r="AU49" s="14">
        <f t="shared" si="18"/>
        <v>95.272727272727266</v>
      </c>
      <c r="AV49" s="14">
        <f t="shared" si="5"/>
        <v>95.272727272727266</v>
      </c>
      <c r="AW49" s="14">
        <f t="shared" si="6"/>
        <v>95.272727272727266</v>
      </c>
      <c r="AX49" s="14">
        <f t="shared" si="7"/>
        <v>95.272727272727266</v>
      </c>
      <c r="AY49" s="14">
        <f t="shared" si="8"/>
        <v>95.272727272727266</v>
      </c>
      <c r="AZ49" s="14">
        <f t="shared" si="20"/>
        <v>95.272727272727266</v>
      </c>
    </row>
    <row r="50" spans="1:52" x14ac:dyDescent="0.45">
      <c r="A50" s="6">
        <v>9.1999999999999993</v>
      </c>
      <c r="B50" s="1">
        <v>134</v>
      </c>
      <c r="C50" s="1">
        <v>134</v>
      </c>
      <c r="D50" s="1">
        <v>134</v>
      </c>
      <c r="E50" s="1">
        <v>134</v>
      </c>
      <c r="F50" s="1">
        <v>134</v>
      </c>
      <c r="G50">
        <v>134</v>
      </c>
      <c r="H50" s="4">
        <v>47</v>
      </c>
      <c r="I50" s="4">
        <v>63.526397051771347</v>
      </c>
      <c r="K50" s="6">
        <v>47</v>
      </c>
      <c r="L50" s="6">
        <v>9.1999999999999993</v>
      </c>
      <c r="M50" s="1">
        <f t="shared" si="9"/>
        <v>1454</v>
      </c>
      <c r="N50" s="1">
        <f t="shared" si="10"/>
        <v>1454</v>
      </c>
      <c r="O50" s="1">
        <f t="shared" si="11"/>
        <v>1454</v>
      </c>
      <c r="P50" s="1">
        <f t="shared" si="12"/>
        <v>1454</v>
      </c>
      <c r="Q50" s="1">
        <f t="shared" si="13"/>
        <v>1454</v>
      </c>
      <c r="R50" s="1">
        <f t="shared" si="14"/>
        <v>1454</v>
      </c>
      <c r="S50" s="1">
        <f t="shared" si="15"/>
        <v>1454</v>
      </c>
      <c r="T50" s="5">
        <f t="shared" si="35"/>
        <v>2000</v>
      </c>
      <c r="U50" s="2"/>
      <c r="V50" s="6">
        <v>9.1999999999999993</v>
      </c>
      <c r="W50">
        <f t="shared" si="16"/>
        <v>7.8515624999999992E-2</v>
      </c>
      <c r="X50">
        <f t="shared" si="21"/>
        <v>7.8515624999999992E-2</v>
      </c>
      <c r="Y50">
        <f t="shared" si="22"/>
        <v>7.8515624999999992E-2</v>
      </c>
      <c r="Z50">
        <f t="shared" si="23"/>
        <v>7.8515624999999992E-2</v>
      </c>
      <c r="AA50">
        <f t="shared" si="24"/>
        <v>7.8515624999999992E-2</v>
      </c>
      <c r="AB50">
        <f t="shared" si="25"/>
        <v>7.8515624999999992E-2</v>
      </c>
      <c r="AD50" s="6">
        <v>9.1999999999999993</v>
      </c>
      <c r="AE50" s="14">
        <f t="shared" si="17"/>
        <v>97.454545454545453</v>
      </c>
      <c r="AF50" s="14">
        <f t="shared" si="26"/>
        <v>97.454545454545453</v>
      </c>
      <c r="AG50" s="14">
        <f t="shared" si="27"/>
        <v>97.454545454545453</v>
      </c>
      <c r="AH50" s="14">
        <f t="shared" si="28"/>
        <v>97.454545454545453</v>
      </c>
      <c r="AI50" s="14">
        <f t="shared" si="29"/>
        <v>97.454545454545453</v>
      </c>
      <c r="AJ50" s="14">
        <f t="shared" si="29"/>
        <v>97.454545454545453</v>
      </c>
      <c r="AL50" s="6">
        <v>9.1999999999999993</v>
      </c>
      <c r="AM50">
        <f t="shared" si="19"/>
        <v>7.8515624999999992E-2</v>
      </c>
      <c r="AN50">
        <f t="shared" si="30"/>
        <v>7.8515624999999992E-2</v>
      </c>
      <c r="AO50">
        <f t="shared" si="31"/>
        <v>7.8515624999999992E-2</v>
      </c>
      <c r="AP50">
        <f t="shared" si="32"/>
        <v>7.8515624999999992E-2</v>
      </c>
      <c r="AQ50">
        <f t="shared" si="33"/>
        <v>7.8515624999999992E-2</v>
      </c>
      <c r="AR50">
        <f t="shared" si="34"/>
        <v>7.8515624999999992E-2</v>
      </c>
      <c r="AT50" s="6">
        <v>9.1999999999999993</v>
      </c>
      <c r="AU50" s="14">
        <f t="shared" si="18"/>
        <v>97.454545454545453</v>
      </c>
      <c r="AV50" s="14">
        <f t="shared" si="5"/>
        <v>97.454545454545453</v>
      </c>
      <c r="AW50" s="14">
        <f t="shared" si="6"/>
        <v>97.454545454545453</v>
      </c>
      <c r="AX50" s="14">
        <f t="shared" si="7"/>
        <v>97.454545454545453</v>
      </c>
      <c r="AY50" s="14">
        <f t="shared" si="8"/>
        <v>97.454545454545453</v>
      </c>
      <c r="AZ50" s="14">
        <f t="shared" si="20"/>
        <v>97.454545454545453</v>
      </c>
    </row>
    <row r="51" spans="1:52" x14ac:dyDescent="0.45">
      <c r="A51" s="6">
        <v>9.4</v>
      </c>
      <c r="B51" s="1">
        <v>137</v>
      </c>
      <c r="C51" s="1">
        <v>137</v>
      </c>
      <c r="D51" s="1">
        <v>137</v>
      </c>
      <c r="E51" s="1">
        <v>137</v>
      </c>
      <c r="F51" s="1">
        <v>137</v>
      </c>
      <c r="G51">
        <v>137</v>
      </c>
      <c r="H51" s="4">
        <v>47</v>
      </c>
      <c r="I51" s="4">
        <v>63.868304417144152</v>
      </c>
      <c r="K51" s="6">
        <v>48</v>
      </c>
      <c r="L51" s="6">
        <v>9.4</v>
      </c>
      <c r="M51" s="1">
        <f t="shared" si="9"/>
        <v>1454</v>
      </c>
      <c r="N51" s="1">
        <f t="shared" si="10"/>
        <v>1454</v>
      </c>
      <c r="O51" s="1">
        <f t="shared" si="11"/>
        <v>1454</v>
      </c>
      <c r="P51" s="1">
        <f t="shared" si="12"/>
        <v>1454</v>
      </c>
      <c r="Q51" s="1">
        <f t="shared" si="13"/>
        <v>1454</v>
      </c>
      <c r="R51" s="1">
        <f t="shared" si="14"/>
        <v>1454</v>
      </c>
      <c r="S51" s="1">
        <f t="shared" si="15"/>
        <v>1454</v>
      </c>
      <c r="T51" s="5">
        <f t="shared" si="35"/>
        <v>2000</v>
      </c>
      <c r="U51" s="2"/>
      <c r="V51" s="6">
        <v>9.4</v>
      </c>
      <c r="W51">
        <f t="shared" si="16"/>
        <v>8.0273437500000003E-2</v>
      </c>
      <c r="X51">
        <f t="shared" si="21"/>
        <v>8.0273437500000003E-2</v>
      </c>
      <c r="Y51">
        <f t="shared" si="22"/>
        <v>8.0273437500000003E-2</v>
      </c>
      <c r="Z51">
        <f t="shared" si="23"/>
        <v>8.0273437500000003E-2</v>
      </c>
      <c r="AA51">
        <f t="shared" si="24"/>
        <v>8.0273437500000003E-2</v>
      </c>
      <c r="AB51">
        <f t="shared" si="25"/>
        <v>8.0273437500000003E-2</v>
      </c>
      <c r="AD51" s="6">
        <v>9.4</v>
      </c>
      <c r="AE51" s="14">
        <f t="shared" si="17"/>
        <v>99.63636363636364</v>
      </c>
      <c r="AF51" s="14">
        <f t="shared" si="26"/>
        <v>99.63636363636364</v>
      </c>
      <c r="AG51" s="14">
        <f t="shared" si="27"/>
        <v>99.63636363636364</v>
      </c>
      <c r="AH51" s="14">
        <f t="shared" si="28"/>
        <v>99.63636363636364</v>
      </c>
      <c r="AI51" s="14">
        <f t="shared" si="29"/>
        <v>99.63636363636364</v>
      </c>
      <c r="AJ51" s="14">
        <f t="shared" si="29"/>
        <v>99.63636363636364</v>
      </c>
      <c r="AL51" s="6">
        <v>9.4</v>
      </c>
      <c r="AM51">
        <f t="shared" si="19"/>
        <v>8.0273437500000003E-2</v>
      </c>
      <c r="AN51">
        <f t="shared" si="30"/>
        <v>8.0273437500000003E-2</v>
      </c>
      <c r="AO51">
        <f t="shared" si="31"/>
        <v>8.0273437500000003E-2</v>
      </c>
      <c r="AP51">
        <f t="shared" si="32"/>
        <v>8.0273437500000003E-2</v>
      </c>
      <c r="AQ51">
        <f t="shared" si="33"/>
        <v>8.0273437500000003E-2</v>
      </c>
      <c r="AR51">
        <f t="shared" si="34"/>
        <v>8.0273437500000003E-2</v>
      </c>
      <c r="AT51" s="6">
        <v>9.4</v>
      </c>
      <c r="AU51" s="14">
        <f t="shared" si="18"/>
        <v>99.63636363636364</v>
      </c>
      <c r="AV51" s="14">
        <f t="shared" si="5"/>
        <v>99.63636363636364</v>
      </c>
      <c r="AW51" s="14">
        <f t="shared" si="6"/>
        <v>99.63636363636364</v>
      </c>
      <c r="AX51" s="14">
        <f t="shared" si="7"/>
        <v>99.63636363636364</v>
      </c>
      <c r="AY51" s="14">
        <f t="shared" si="8"/>
        <v>99.63636363636364</v>
      </c>
      <c r="AZ51" s="14">
        <f t="shared" si="20"/>
        <v>99.63636363636364</v>
      </c>
    </row>
    <row r="52" spans="1:52" x14ac:dyDescent="0.45">
      <c r="A52" s="6">
        <v>9.6</v>
      </c>
      <c r="B52" s="1">
        <v>140</v>
      </c>
      <c r="C52" s="1">
        <v>140</v>
      </c>
      <c r="D52" s="1">
        <v>140</v>
      </c>
      <c r="E52" s="1">
        <v>140</v>
      </c>
      <c r="F52" s="1">
        <v>140</v>
      </c>
      <c r="G52">
        <v>140</v>
      </c>
      <c r="H52" s="4">
        <v>48</v>
      </c>
      <c r="I52" s="4">
        <v>64.203161641316569</v>
      </c>
      <c r="K52" s="6">
        <v>49</v>
      </c>
      <c r="L52" s="6">
        <v>9.6</v>
      </c>
      <c r="M52" s="1">
        <f t="shared" si="9"/>
        <v>1454</v>
      </c>
      <c r="N52" s="1">
        <f t="shared" si="10"/>
        <v>1454</v>
      </c>
      <c r="O52" s="1">
        <f t="shared" si="11"/>
        <v>1454</v>
      </c>
      <c r="P52" s="1">
        <f t="shared" si="12"/>
        <v>1454</v>
      </c>
      <c r="Q52" s="1">
        <f t="shared" si="13"/>
        <v>1454</v>
      </c>
      <c r="R52" s="1">
        <f t="shared" si="14"/>
        <v>1454</v>
      </c>
      <c r="S52" s="1">
        <f t="shared" si="15"/>
        <v>1454</v>
      </c>
      <c r="T52" s="5">
        <f t="shared" si="35"/>
        <v>2000</v>
      </c>
      <c r="U52" s="2"/>
      <c r="V52" s="6">
        <v>9.6</v>
      </c>
      <c r="W52">
        <f t="shared" si="16"/>
        <v>8.203125E-2</v>
      </c>
      <c r="X52">
        <f t="shared" si="21"/>
        <v>8.203125E-2</v>
      </c>
      <c r="Y52">
        <f t="shared" si="22"/>
        <v>8.203125E-2</v>
      </c>
      <c r="Z52">
        <f t="shared" si="23"/>
        <v>8.203125E-2</v>
      </c>
      <c r="AA52">
        <f t="shared" si="24"/>
        <v>8.203125E-2</v>
      </c>
      <c r="AB52">
        <f t="shared" si="25"/>
        <v>8.203125E-2</v>
      </c>
      <c r="AD52" s="6">
        <v>9.6</v>
      </c>
      <c r="AE52" s="14">
        <f t="shared" si="17"/>
        <v>101.81818181818183</v>
      </c>
      <c r="AF52" s="14">
        <f t="shared" si="26"/>
        <v>101.81818181818183</v>
      </c>
      <c r="AG52" s="14">
        <f t="shared" si="27"/>
        <v>101.81818181818183</v>
      </c>
      <c r="AH52" s="14">
        <f t="shared" si="28"/>
        <v>101.81818181818183</v>
      </c>
      <c r="AI52" s="14">
        <f t="shared" si="29"/>
        <v>101.81818181818183</v>
      </c>
      <c r="AJ52" s="14">
        <f t="shared" si="29"/>
        <v>101.81818181818183</v>
      </c>
      <c r="AL52" s="6">
        <v>9.6000000000000103</v>
      </c>
      <c r="AM52">
        <f t="shared" si="19"/>
        <v>8.203125E-2</v>
      </c>
      <c r="AN52">
        <f t="shared" si="30"/>
        <v>8.203125E-2</v>
      </c>
      <c r="AO52">
        <f t="shared" si="31"/>
        <v>8.203125E-2</v>
      </c>
      <c r="AP52">
        <f t="shared" si="32"/>
        <v>8.203125E-2</v>
      </c>
      <c r="AQ52">
        <f t="shared" si="33"/>
        <v>8.203125E-2</v>
      </c>
      <c r="AR52">
        <f t="shared" si="34"/>
        <v>8.203125E-2</v>
      </c>
      <c r="AT52" s="6">
        <v>9.6</v>
      </c>
      <c r="AU52" s="14">
        <f t="shared" si="18"/>
        <v>101.81818181818183</v>
      </c>
      <c r="AV52" s="14">
        <f t="shared" si="5"/>
        <v>101.81818181818183</v>
      </c>
      <c r="AW52" s="14">
        <f t="shared" si="6"/>
        <v>101.81818181818183</v>
      </c>
      <c r="AX52" s="14">
        <f t="shared" si="7"/>
        <v>101.81818181818183</v>
      </c>
      <c r="AY52" s="14">
        <f t="shared" si="8"/>
        <v>101.81818181818183</v>
      </c>
      <c r="AZ52" s="14">
        <f t="shared" si="20"/>
        <v>101.81818181818183</v>
      </c>
    </row>
    <row r="53" spans="1:52" x14ac:dyDescent="0.45">
      <c r="A53" s="6">
        <v>9.8000000000000007</v>
      </c>
      <c r="B53" s="1">
        <v>143</v>
      </c>
      <c r="C53" s="1">
        <v>143</v>
      </c>
      <c r="D53" s="1">
        <v>143</v>
      </c>
      <c r="E53" s="1">
        <v>143</v>
      </c>
      <c r="F53" s="1">
        <v>143</v>
      </c>
      <c r="G53">
        <v>143</v>
      </c>
      <c r="H53" s="4">
        <v>48</v>
      </c>
      <c r="I53" s="4">
        <v>64.531253608153094</v>
      </c>
      <c r="K53" s="6">
        <v>50</v>
      </c>
      <c r="L53" s="6">
        <v>9.8000000000000007</v>
      </c>
      <c r="M53" s="1">
        <f t="shared" si="9"/>
        <v>1454</v>
      </c>
      <c r="N53" s="1">
        <f t="shared" si="10"/>
        <v>1454</v>
      </c>
      <c r="O53" s="1">
        <f t="shared" si="11"/>
        <v>1454</v>
      </c>
      <c r="P53" s="1">
        <f t="shared" si="12"/>
        <v>1454</v>
      </c>
      <c r="Q53" s="1">
        <f t="shared" si="13"/>
        <v>1454</v>
      </c>
      <c r="R53" s="1">
        <f t="shared" si="14"/>
        <v>1454</v>
      </c>
      <c r="S53" s="1">
        <f t="shared" si="15"/>
        <v>1454</v>
      </c>
      <c r="T53" s="5">
        <f t="shared" si="35"/>
        <v>2000</v>
      </c>
      <c r="U53" s="2"/>
      <c r="V53" s="6">
        <v>9.8000000000000007</v>
      </c>
      <c r="W53">
        <f t="shared" si="16"/>
        <v>8.3789062499999997E-2</v>
      </c>
      <c r="X53">
        <f t="shared" si="21"/>
        <v>8.3789062499999997E-2</v>
      </c>
      <c r="Y53">
        <f t="shared" si="22"/>
        <v>8.3789062499999997E-2</v>
      </c>
      <c r="Z53">
        <f t="shared" si="23"/>
        <v>8.3789062499999997E-2</v>
      </c>
      <c r="AA53">
        <f t="shared" si="24"/>
        <v>8.3789062499999997E-2</v>
      </c>
      <c r="AB53">
        <f t="shared" si="25"/>
        <v>8.3789062499999997E-2</v>
      </c>
      <c r="AD53" s="6">
        <v>9.8000000000000007</v>
      </c>
      <c r="AE53" s="14">
        <f t="shared" si="17"/>
        <v>104</v>
      </c>
      <c r="AF53" s="14">
        <f t="shared" si="26"/>
        <v>104</v>
      </c>
      <c r="AG53" s="14">
        <f t="shared" si="27"/>
        <v>104</v>
      </c>
      <c r="AH53" s="14">
        <f t="shared" si="28"/>
        <v>104</v>
      </c>
      <c r="AI53" s="14">
        <f t="shared" si="29"/>
        <v>104</v>
      </c>
      <c r="AJ53" s="14">
        <f t="shared" si="29"/>
        <v>104</v>
      </c>
      <c r="AL53" s="6">
        <v>9.8000000000000096</v>
      </c>
      <c r="AM53">
        <f t="shared" si="19"/>
        <v>8.3789062499999997E-2</v>
      </c>
      <c r="AN53">
        <f t="shared" si="30"/>
        <v>8.3789062499999997E-2</v>
      </c>
      <c r="AO53">
        <f t="shared" si="31"/>
        <v>8.3789062499999997E-2</v>
      </c>
      <c r="AP53">
        <f t="shared" si="32"/>
        <v>8.3789062499999997E-2</v>
      </c>
      <c r="AQ53">
        <f t="shared" si="33"/>
        <v>8.3789062499999997E-2</v>
      </c>
      <c r="AR53">
        <f t="shared" si="34"/>
        <v>8.3789062499999997E-2</v>
      </c>
      <c r="AT53" s="6">
        <v>9.8000000000000096</v>
      </c>
      <c r="AU53" s="14">
        <f t="shared" si="18"/>
        <v>104</v>
      </c>
      <c r="AV53" s="14">
        <f t="shared" si="5"/>
        <v>104</v>
      </c>
      <c r="AW53" s="14">
        <f t="shared" si="6"/>
        <v>104</v>
      </c>
      <c r="AX53" s="14">
        <f t="shared" si="7"/>
        <v>104</v>
      </c>
      <c r="AY53" s="14">
        <f t="shared" si="8"/>
        <v>104</v>
      </c>
      <c r="AZ53" s="14">
        <f t="shared" si="20"/>
        <v>104</v>
      </c>
    </row>
    <row r="54" spans="1:52" x14ac:dyDescent="0.45">
      <c r="A54" s="6">
        <v>10</v>
      </c>
      <c r="B54" s="1">
        <v>145</v>
      </c>
      <c r="C54" s="1">
        <v>145</v>
      </c>
      <c r="D54" s="1">
        <v>145</v>
      </c>
      <c r="E54" s="1">
        <v>145</v>
      </c>
      <c r="F54" s="1">
        <v>145</v>
      </c>
      <c r="G54">
        <v>145</v>
      </c>
      <c r="H54" s="4">
        <v>48</v>
      </c>
      <c r="I54" s="4">
        <v>64.852848275443051</v>
      </c>
      <c r="K54" s="6">
        <v>51</v>
      </c>
      <c r="L54" s="6">
        <v>10</v>
      </c>
      <c r="M54" s="1">
        <f t="shared" si="9"/>
        <v>1454</v>
      </c>
      <c r="N54" s="1">
        <f t="shared" si="10"/>
        <v>1454</v>
      </c>
      <c r="O54" s="1">
        <f t="shared" si="11"/>
        <v>1454</v>
      </c>
      <c r="P54" s="1">
        <f t="shared" si="12"/>
        <v>1454</v>
      </c>
      <c r="Q54" s="1">
        <f t="shared" si="13"/>
        <v>1454</v>
      </c>
      <c r="R54" s="1">
        <f t="shared" si="14"/>
        <v>1454</v>
      </c>
      <c r="S54" s="1">
        <f t="shared" si="15"/>
        <v>1454</v>
      </c>
      <c r="T54" s="5">
        <f t="shared" si="35"/>
        <v>2000</v>
      </c>
      <c r="U54" s="2"/>
      <c r="V54" s="6">
        <v>10</v>
      </c>
      <c r="W54">
        <f t="shared" si="16"/>
        <v>8.49609375E-2</v>
      </c>
      <c r="X54">
        <f t="shared" si="21"/>
        <v>8.49609375E-2</v>
      </c>
      <c r="Y54">
        <f t="shared" si="22"/>
        <v>8.49609375E-2</v>
      </c>
      <c r="Z54">
        <f t="shared" si="23"/>
        <v>8.49609375E-2</v>
      </c>
      <c r="AA54">
        <f t="shared" si="24"/>
        <v>8.49609375E-2</v>
      </c>
      <c r="AB54">
        <f t="shared" si="25"/>
        <v>8.49609375E-2</v>
      </c>
      <c r="AD54" s="6">
        <v>10</v>
      </c>
      <c r="AE54" s="14">
        <f t="shared" si="17"/>
        <v>105.45454545454545</v>
      </c>
      <c r="AF54" s="14">
        <f t="shared" si="26"/>
        <v>105.45454545454545</v>
      </c>
      <c r="AG54" s="14">
        <f t="shared" si="27"/>
        <v>105.45454545454545</v>
      </c>
      <c r="AH54" s="14">
        <f t="shared" si="28"/>
        <v>105.45454545454545</v>
      </c>
      <c r="AI54" s="14">
        <f t="shared" si="29"/>
        <v>105.45454545454545</v>
      </c>
      <c r="AJ54" s="14">
        <f t="shared" si="29"/>
        <v>105.45454545454545</v>
      </c>
      <c r="AL54" s="6">
        <v>10</v>
      </c>
      <c r="AM54">
        <f t="shared" si="19"/>
        <v>8.49609375E-2</v>
      </c>
      <c r="AN54">
        <f t="shared" si="30"/>
        <v>8.49609375E-2</v>
      </c>
      <c r="AO54">
        <f t="shared" si="31"/>
        <v>8.49609375E-2</v>
      </c>
      <c r="AP54">
        <f t="shared" si="32"/>
        <v>8.49609375E-2</v>
      </c>
      <c r="AQ54">
        <f t="shared" si="33"/>
        <v>8.49609375E-2</v>
      </c>
      <c r="AR54">
        <f t="shared" si="34"/>
        <v>8.49609375E-2</v>
      </c>
      <c r="AT54" s="6">
        <v>10</v>
      </c>
      <c r="AU54" s="14">
        <f t="shared" si="18"/>
        <v>105.45454545454545</v>
      </c>
      <c r="AV54" s="14">
        <f t="shared" si="5"/>
        <v>105.45454545454545</v>
      </c>
      <c r="AW54" s="14">
        <f t="shared" si="6"/>
        <v>105.45454545454545</v>
      </c>
      <c r="AX54" s="14">
        <f t="shared" si="7"/>
        <v>105.45454545454545</v>
      </c>
      <c r="AY54" s="14">
        <f t="shared" si="8"/>
        <v>105.45454545454545</v>
      </c>
      <c r="AZ54" s="14">
        <f t="shared" si="20"/>
        <v>105.45454545454545</v>
      </c>
    </row>
    <row r="55" spans="1:52" x14ac:dyDescent="0.45">
      <c r="A55" s="6">
        <v>10.199999999999999</v>
      </c>
      <c r="B55" s="1">
        <v>148</v>
      </c>
      <c r="C55" s="1">
        <v>148</v>
      </c>
      <c r="D55" s="1">
        <v>148</v>
      </c>
      <c r="E55" s="1">
        <v>148</v>
      </c>
      <c r="F55" s="1">
        <v>148</v>
      </c>
      <c r="G55">
        <v>148</v>
      </c>
      <c r="H55" s="4">
        <v>48</v>
      </c>
      <c r="I55" s="4">
        <v>65.16819798976239</v>
      </c>
      <c r="K55" s="6">
        <v>52</v>
      </c>
      <c r="L55" s="6">
        <v>10.199999999999999</v>
      </c>
      <c r="M55" s="1">
        <f t="shared" si="9"/>
        <v>1454</v>
      </c>
      <c r="N55" s="1">
        <f t="shared" si="10"/>
        <v>1454</v>
      </c>
      <c r="O55" s="1">
        <f t="shared" si="11"/>
        <v>1454</v>
      </c>
      <c r="P55" s="1">
        <f t="shared" si="12"/>
        <v>1454</v>
      </c>
      <c r="Q55" s="1">
        <f t="shared" si="13"/>
        <v>1454</v>
      </c>
      <c r="R55" s="1">
        <f t="shared" si="14"/>
        <v>1454</v>
      </c>
      <c r="S55" s="1">
        <f t="shared" si="15"/>
        <v>1454</v>
      </c>
      <c r="T55" s="5">
        <f t="shared" si="35"/>
        <v>2000</v>
      </c>
      <c r="U55" s="2"/>
      <c r="V55" s="6">
        <v>10.199999999999999</v>
      </c>
      <c r="W55">
        <f t="shared" si="16"/>
        <v>8.6718749999999997E-2</v>
      </c>
      <c r="X55">
        <f t="shared" si="21"/>
        <v>8.6718749999999997E-2</v>
      </c>
      <c r="Y55">
        <f t="shared" si="22"/>
        <v>8.6718749999999997E-2</v>
      </c>
      <c r="Z55">
        <f t="shared" si="23"/>
        <v>8.6718749999999997E-2</v>
      </c>
      <c r="AA55">
        <f t="shared" si="24"/>
        <v>8.6718749999999997E-2</v>
      </c>
      <c r="AB55">
        <f t="shared" si="25"/>
        <v>8.6718749999999997E-2</v>
      </c>
      <c r="AD55" s="6">
        <v>10.199999999999999</v>
      </c>
      <c r="AE55" s="14">
        <f t="shared" si="17"/>
        <v>107.63636363636364</v>
      </c>
      <c r="AF55" s="14">
        <f t="shared" si="26"/>
        <v>107.63636363636364</v>
      </c>
      <c r="AG55" s="14">
        <f t="shared" si="27"/>
        <v>107.63636363636364</v>
      </c>
      <c r="AH55" s="14">
        <f t="shared" si="28"/>
        <v>107.63636363636364</v>
      </c>
      <c r="AI55" s="14">
        <f t="shared" si="29"/>
        <v>107.63636363636364</v>
      </c>
      <c r="AJ55" s="14">
        <f t="shared" si="29"/>
        <v>107.63636363636364</v>
      </c>
      <c r="AL55" s="6">
        <v>10.199999999999999</v>
      </c>
      <c r="AM55">
        <f t="shared" si="19"/>
        <v>8.6718749999999997E-2</v>
      </c>
      <c r="AN55">
        <f t="shared" si="30"/>
        <v>8.6718749999999997E-2</v>
      </c>
      <c r="AO55">
        <f t="shared" si="31"/>
        <v>8.6718749999999997E-2</v>
      </c>
      <c r="AP55">
        <f t="shared" si="32"/>
        <v>8.6718749999999997E-2</v>
      </c>
      <c r="AQ55">
        <f t="shared" si="33"/>
        <v>8.6718749999999997E-2</v>
      </c>
      <c r="AR55">
        <f t="shared" si="34"/>
        <v>8.6718749999999997E-2</v>
      </c>
      <c r="AT55" s="6">
        <v>10.199999999999999</v>
      </c>
      <c r="AU55" s="14">
        <f t="shared" si="18"/>
        <v>107.63636363636364</v>
      </c>
      <c r="AV55" s="14">
        <f t="shared" si="5"/>
        <v>107.63636363636364</v>
      </c>
      <c r="AW55" s="14">
        <f t="shared" si="6"/>
        <v>107.63636363636364</v>
      </c>
      <c r="AX55" s="14">
        <f t="shared" si="7"/>
        <v>107.63636363636364</v>
      </c>
      <c r="AY55" s="14">
        <f t="shared" si="8"/>
        <v>107.63636363636364</v>
      </c>
      <c r="AZ55" s="14">
        <f t="shared" si="20"/>
        <v>107.63636363636364</v>
      </c>
    </row>
    <row r="56" spans="1:52" x14ac:dyDescent="0.45">
      <c r="A56" s="6">
        <v>10.4</v>
      </c>
      <c r="B56" s="1">
        <v>151</v>
      </c>
      <c r="C56" s="1">
        <v>151</v>
      </c>
      <c r="D56" s="1">
        <v>151</v>
      </c>
      <c r="E56" s="1">
        <v>151</v>
      </c>
      <c r="F56" s="1">
        <v>151</v>
      </c>
      <c r="G56">
        <v>151</v>
      </c>
      <c r="H56" s="4">
        <v>49</v>
      </c>
      <c r="I56" s="4">
        <v>65.477540676086463</v>
      </c>
      <c r="K56" s="6">
        <v>53</v>
      </c>
      <c r="L56" s="6">
        <v>10.4</v>
      </c>
      <c r="M56" s="1">
        <f t="shared" si="9"/>
        <v>1454</v>
      </c>
      <c r="N56" s="1">
        <f t="shared" si="10"/>
        <v>1454</v>
      </c>
      <c r="O56" s="1">
        <f t="shared" si="11"/>
        <v>1454</v>
      </c>
      <c r="P56" s="1">
        <f t="shared" si="12"/>
        <v>1454</v>
      </c>
      <c r="Q56" s="1">
        <f t="shared" si="13"/>
        <v>1454</v>
      </c>
      <c r="R56" s="1">
        <f t="shared" si="14"/>
        <v>1454</v>
      </c>
      <c r="S56" s="1">
        <f t="shared" si="15"/>
        <v>1454</v>
      </c>
      <c r="T56" s="5">
        <f t="shared" si="35"/>
        <v>2000</v>
      </c>
      <c r="U56" s="2"/>
      <c r="V56" s="6">
        <v>10.4</v>
      </c>
      <c r="W56">
        <f t="shared" si="16"/>
        <v>8.8476562499999994E-2</v>
      </c>
      <c r="X56">
        <f t="shared" si="21"/>
        <v>8.8476562499999994E-2</v>
      </c>
      <c r="Y56">
        <f t="shared" si="22"/>
        <v>8.8476562499999994E-2</v>
      </c>
      <c r="Z56">
        <f t="shared" si="23"/>
        <v>8.8476562499999994E-2</v>
      </c>
      <c r="AA56">
        <f t="shared" si="24"/>
        <v>8.8476562499999994E-2</v>
      </c>
      <c r="AB56">
        <f t="shared" si="25"/>
        <v>8.8476562499999994E-2</v>
      </c>
      <c r="AD56" s="6">
        <v>10.4</v>
      </c>
      <c r="AE56" s="14">
        <f t="shared" si="17"/>
        <v>109.81818181818181</v>
      </c>
      <c r="AF56" s="14">
        <f t="shared" si="26"/>
        <v>109.81818181818181</v>
      </c>
      <c r="AG56" s="14">
        <f t="shared" si="27"/>
        <v>109.81818181818181</v>
      </c>
      <c r="AH56" s="14">
        <f t="shared" si="28"/>
        <v>109.81818181818181</v>
      </c>
      <c r="AI56" s="14">
        <f t="shared" si="29"/>
        <v>109.81818181818181</v>
      </c>
      <c r="AJ56" s="14">
        <f t="shared" si="29"/>
        <v>109.81818181818181</v>
      </c>
      <c r="AL56" s="6">
        <v>10.4</v>
      </c>
      <c r="AM56">
        <f t="shared" si="19"/>
        <v>8.8476562499999994E-2</v>
      </c>
      <c r="AN56">
        <f t="shared" si="30"/>
        <v>8.8476562499999994E-2</v>
      </c>
      <c r="AO56">
        <f t="shared" si="31"/>
        <v>8.8476562499999994E-2</v>
      </c>
      <c r="AP56">
        <f t="shared" si="32"/>
        <v>8.8476562499999994E-2</v>
      </c>
      <c r="AQ56">
        <f t="shared" si="33"/>
        <v>8.8476562499999994E-2</v>
      </c>
      <c r="AR56">
        <f t="shared" si="34"/>
        <v>8.8476562499999994E-2</v>
      </c>
      <c r="AT56" s="6">
        <v>10.4</v>
      </c>
      <c r="AU56" s="14">
        <f t="shared" si="18"/>
        <v>109.81818181818181</v>
      </c>
      <c r="AV56" s="14">
        <f t="shared" si="5"/>
        <v>109.81818181818181</v>
      </c>
      <c r="AW56" s="14">
        <f t="shared" si="6"/>
        <v>109.81818181818181</v>
      </c>
      <c r="AX56" s="14">
        <f t="shared" si="7"/>
        <v>109.81818181818181</v>
      </c>
      <c r="AY56" s="14">
        <f t="shared" si="8"/>
        <v>109.81818181818181</v>
      </c>
      <c r="AZ56" s="14">
        <f t="shared" si="20"/>
        <v>109.81818181818181</v>
      </c>
    </row>
    <row r="57" spans="1:52" x14ac:dyDescent="0.45">
      <c r="A57" s="6">
        <v>10.6</v>
      </c>
      <c r="B57" s="1">
        <v>154</v>
      </c>
      <c r="C57" s="1">
        <v>154</v>
      </c>
      <c r="D57" s="1">
        <v>154</v>
      </c>
      <c r="E57" s="1">
        <v>154</v>
      </c>
      <c r="F57" s="1">
        <v>154</v>
      </c>
      <c r="G57">
        <v>154</v>
      </c>
      <c r="H57" s="4">
        <v>49</v>
      </c>
      <c r="I57" s="4">
        <v>65.781100916203826</v>
      </c>
      <c r="K57" s="6">
        <v>54</v>
      </c>
      <c r="L57" s="6">
        <v>10.6</v>
      </c>
      <c r="M57" s="1">
        <f t="shared" si="9"/>
        <v>1454</v>
      </c>
      <c r="N57" s="1">
        <f t="shared" si="10"/>
        <v>1454</v>
      </c>
      <c r="O57" s="1">
        <f t="shared" si="11"/>
        <v>1454</v>
      </c>
      <c r="P57" s="1">
        <f t="shared" si="12"/>
        <v>1454</v>
      </c>
      <c r="Q57" s="1">
        <f t="shared" si="13"/>
        <v>1454</v>
      </c>
      <c r="R57" s="1">
        <f t="shared" si="14"/>
        <v>1454</v>
      </c>
      <c r="S57" s="1">
        <f t="shared" si="15"/>
        <v>1454</v>
      </c>
      <c r="T57" s="5">
        <f t="shared" si="35"/>
        <v>2000</v>
      </c>
      <c r="U57" s="2"/>
      <c r="V57" s="6">
        <v>10.6</v>
      </c>
      <c r="W57">
        <f t="shared" si="16"/>
        <v>9.0234374999999992E-2</v>
      </c>
      <c r="X57">
        <f t="shared" si="21"/>
        <v>9.0234374999999992E-2</v>
      </c>
      <c r="Y57">
        <f t="shared" si="22"/>
        <v>9.0234374999999992E-2</v>
      </c>
      <c r="Z57">
        <f t="shared" si="23"/>
        <v>9.0234374999999992E-2</v>
      </c>
      <c r="AA57">
        <f t="shared" si="24"/>
        <v>9.0234374999999992E-2</v>
      </c>
      <c r="AB57">
        <f t="shared" si="25"/>
        <v>9.0234374999999992E-2</v>
      </c>
      <c r="AD57" s="6">
        <v>10.6</v>
      </c>
      <c r="AE57" s="14">
        <f>(W57*4096)/3.3</f>
        <v>112</v>
      </c>
      <c r="AF57" s="14">
        <f t="shared" si="26"/>
        <v>112</v>
      </c>
      <c r="AG57" s="14">
        <f t="shared" si="27"/>
        <v>112</v>
      </c>
      <c r="AH57" s="14">
        <f t="shared" si="28"/>
        <v>112</v>
      </c>
      <c r="AI57" s="14">
        <f t="shared" si="29"/>
        <v>112</v>
      </c>
      <c r="AJ57" s="14">
        <f t="shared" si="29"/>
        <v>112</v>
      </c>
      <c r="AL57" s="6">
        <v>10.6</v>
      </c>
      <c r="AM57">
        <f t="shared" si="19"/>
        <v>9.0234374999999992E-2</v>
      </c>
      <c r="AN57">
        <f t="shared" si="30"/>
        <v>9.0234374999999992E-2</v>
      </c>
      <c r="AO57">
        <f t="shared" si="31"/>
        <v>9.0234374999999992E-2</v>
      </c>
      <c r="AP57">
        <f t="shared" si="32"/>
        <v>9.0234374999999992E-2</v>
      </c>
      <c r="AQ57">
        <f t="shared" si="33"/>
        <v>9.0234374999999992E-2</v>
      </c>
      <c r="AR57">
        <f t="shared" si="34"/>
        <v>9.0234374999999992E-2</v>
      </c>
      <c r="AT57" s="6">
        <v>10.6</v>
      </c>
      <c r="AU57" s="14">
        <f t="shared" si="18"/>
        <v>112</v>
      </c>
      <c r="AV57" s="14">
        <f t="shared" si="5"/>
        <v>112</v>
      </c>
      <c r="AW57" s="14">
        <f t="shared" si="6"/>
        <v>112</v>
      </c>
      <c r="AX57" s="14">
        <f t="shared" si="7"/>
        <v>112</v>
      </c>
      <c r="AY57" s="14">
        <f t="shared" si="8"/>
        <v>112</v>
      </c>
      <c r="AZ57" s="14">
        <f t="shared" si="20"/>
        <v>112</v>
      </c>
    </row>
    <row r="58" spans="1:52" x14ac:dyDescent="0.45">
      <c r="A58" s="6">
        <v>10.8</v>
      </c>
      <c r="B58" s="1">
        <v>157</v>
      </c>
      <c r="C58" s="1">
        <v>157</v>
      </c>
      <c r="D58" s="1">
        <v>157</v>
      </c>
      <c r="E58" s="1">
        <v>157</v>
      </c>
      <c r="F58" s="1">
        <v>157</v>
      </c>
      <c r="G58">
        <v>157</v>
      </c>
      <c r="H58" s="4">
        <v>49</v>
      </c>
      <c r="I58" s="4">
        <v>66.079090928175333</v>
      </c>
      <c r="K58" s="6">
        <v>55</v>
      </c>
      <c r="L58" s="6">
        <v>10.8</v>
      </c>
      <c r="M58" s="1">
        <f t="shared" si="9"/>
        <v>1454</v>
      </c>
      <c r="N58" s="1">
        <f t="shared" si="10"/>
        <v>1454</v>
      </c>
      <c r="O58" s="1">
        <f t="shared" si="11"/>
        <v>1454</v>
      </c>
      <c r="P58" s="1">
        <f t="shared" si="12"/>
        <v>1454</v>
      </c>
      <c r="Q58" s="1">
        <f t="shared" si="13"/>
        <v>1454</v>
      </c>
      <c r="R58" s="1">
        <f t="shared" si="14"/>
        <v>1454</v>
      </c>
      <c r="S58" s="1">
        <f t="shared" si="15"/>
        <v>1454</v>
      </c>
      <c r="T58" s="5">
        <f t="shared" si="35"/>
        <v>2000</v>
      </c>
      <c r="U58" s="2"/>
      <c r="V58" s="6">
        <v>10.8</v>
      </c>
      <c r="W58">
        <f t="shared" si="16"/>
        <v>9.1992187500000003E-2</v>
      </c>
      <c r="X58">
        <f t="shared" si="21"/>
        <v>9.1992187500000003E-2</v>
      </c>
      <c r="Y58">
        <f t="shared" si="22"/>
        <v>9.1992187500000003E-2</v>
      </c>
      <c r="Z58">
        <f t="shared" si="23"/>
        <v>9.1992187500000003E-2</v>
      </c>
      <c r="AA58">
        <f t="shared" si="24"/>
        <v>9.1992187500000003E-2</v>
      </c>
      <c r="AB58">
        <f t="shared" si="25"/>
        <v>9.1992187500000003E-2</v>
      </c>
      <c r="AD58" s="6">
        <v>10.8</v>
      </c>
      <c r="AE58" s="14">
        <f t="shared" si="17"/>
        <v>114.18181818181819</v>
      </c>
      <c r="AF58" s="14">
        <f t="shared" si="26"/>
        <v>114.18181818181819</v>
      </c>
      <c r="AG58" s="14">
        <f t="shared" si="27"/>
        <v>114.18181818181819</v>
      </c>
      <c r="AH58" s="14">
        <f t="shared" si="28"/>
        <v>114.18181818181819</v>
      </c>
      <c r="AI58" s="14">
        <f t="shared" si="29"/>
        <v>114.18181818181819</v>
      </c>
      <c r="AJ58" s="14">
        <f t="shared" si="29"/>
        <v>114.18181818181819</v>
      </c>
      <c r="AL58" s="6">
        <v>10.8</v>
      </c>
      <c r="AM58">
        <f t="shared" si="19"/>
        <v>9.1992187500000003E-2</v>
      </c>
      <c r="AN58">
        <f t="shared" si="30"/>
        <v>9.1992187500000003E-2</v>
      </c>
      <c r="AO58">
        <f t="shared" si="31"/>
        <v>9.1992187500000003E-2</v>
      </c>
      <c r="AP58">
        <f t="shared" si="32"/>
        <v>9.1992187500000003E-2</v>
      </c>
      <c r="AQ58">
        <f t="shared" si="33"/>
        <v>9.1992187500000003E-2</v>
      </c>
      <c r="AR58">
        <f t="shared" si="34"/>
        <v>9.1992187500000003E-2</v>
      </c>
      <c r="AT58" s="6">
        <v>10.8</v>
      </c>
      <c r="AU58" s="14">
        <f t="shared" si="18"/>
        <v>114.18181818181819</v>
      </c>
      <c r="AV58" s="14">
        <f t="shared" si="5"/>
        <v>114.18181818181819</v>
      </c>
      <c r="AW58" s="14">
        <f t="shared" si="6"/>
        <v>114.18181818181819</v>
      </c>
      <c r="AX58" s="14">
        <f t="shared" si="7"/>
        <v>114.18181818181819</v>
      </c>
      <c r="AY58" s="14">
        <f t="shared" si="8"/>
        <v>114.18181818181819</v>
      </c>
      <c r="AZ58" s="14">
        <f t="shared" si="20"/>
        <v>114.18181818181819</v>
      </c>
    </row>
    <row r="59" spans="1:52" x14ac:dyDescent="0.45">
      <c r="A59" s="6">
        <v>11</v>
      </c>
      <c r="B59" s="1">
        <v>160</v>
      </c>
      <c r="C59" s="1">
        <v>160</v>
      </c>
      <c r="D59" s="1">
        <v>160</v>
      </c>
      <c r="E59" s="1">
        <v>160</v>
      </c>
      <c r="F59" s="1">
        <v>160</v>
      </c>
      <c r="G59">
        <v>160</v>
      </c>
      <c r="H59" s="4">
        <v>66.371711457538836</v>
      </c>
      <c r="I59" s="4">
        <v>66.371711457538836</v>
      </c>
      <c r="K59" s="6">
        <v>56</v>
      </c>
      <c r="L59" s="6">
        <v>11</v>
      </c>
      <c r="M59" s="1">
        <f t="shared" si="9"/>
        <v>1454</v>
      </c>
      <c r="N59" s="1">
        <f t="shared" si="10"/>
        <v>1454</v>
      </c>
      <c r="O59" s="1">
        <f t="shared" si="11"/>
        <v>1454</v>
      </c>
      <c r="P59" s="1">
        <f t="shared" si="12"/>
        <v>1454</v>
      </c>
      <c r="Q59" s="1">
        <f t="shared" si="13"/>
        <v>1454</v>
      </c>
      <c r="R59" s="1">
        <f t="shared" si="14"/>
        <v>1454</v>
      </c>
      <c r="S59" s="1">
        <f t="shared" si="15"/>
        <v>1454</v>
      </c>
      <c r="T59" s="5">
        <f t="shared" si="35"/>
        <v>2000</v>
      </c>
      <c r="U59" s="2"/>
      <c r="V59" s="6">
        <v>11</v>
      </c>
      <c r="W59">
        <f t="shared" si="16"/>
        <v>9.375E-2</v>
      </c>
      <c r="X59">
        <f t="shared" si="21"/>
        <v>9.375E-2</v>
      </c>
      <c r="Y59">
        <f t="shared" si="22"/>
        <v>9.375E-2</v>
      </c>
      <c r="Z59">
        <f t="shared" si="23"/>
        <v>9.375E-2</v>
      </c>
      <c r="AA59">
        <f t="shared" si="24"/>
        <v>9.375E-2</v>
      </c>
      <c r="AB59">
        <f t="shared" si="25"/>
        <v>9.375E-2</v>
      </c>
      <c r="AD59" s="6">
        <v>11</v>
      </c>
      <c r="AE59" s="14">
        <f t="shared" si="17"/>
        <v>116.36363636363637</v>
      </c>
      <c r="AF59" s="14">
        <f t="shared" si="26"/>
        <v>116.36363636363637</v>
      </c>
      <c r="AG59" s="14">
        <f t="shared" si="27"/>
        <v>116.36363636363637</v>
      </c>
      <c r="AH59" s="14">
        <f t="shared" si="28"/>
        <v>116.36363636363637</v>
      </c>
      <c r="AI59" s="14">
        <f t="shared" si="29"/>
        <v>116.36363636363637</v>
      </c>
      <c r="AJ59" s="14">
        <f t="shared" si="29"/>
        <v>116.36363636363637</v>
      </c>
      <c r="AL59" s="6">
        <v>11</v>
      </c>
      <c r="AM59">
        <f t="shared" si="19"/>
        <v>9.375E-2</v>
      </c>
      <c r="AN59">
        <f t="shared" si="30"/>
        <v>9.375E-2</v>
      </c>
      <c r="AO59">
        <f t="shared" si="31"/>
        <v>9.375E-2</v>
      </c>
      <c r="AP59">
        <f t="shared" si="32"/>
        <v>9.375E-2</v>
      </c>
      <c r="AQ59">
        <f t="shared" si="33"/>
        <v>9.375E-2</v>
      </c>
      <c r="AR59">
        <f t="shared" si="34"/>
        <v>9.375E-2</v>
      </c>
      <c r="AT59" s="6">
        <v>11</v>
      </c>
      <c r="AU59" s="14">
        <f t="shared" si="18"/>
        <v>116.36363636363637</v>
      </c>
      <c r="AV59" s="14">
        <f t="shared" si="5"/>
        <v>116.36363636363637</v>
      </c>
      <c r="AW59" s="14">
        <f t="shared" si="6"/>
        <v>116.36363636363637</v>
      </c>
      <c r="AX59" s="14">
        <f t="shared" si="7"/>
        <v>116.36363636363637</v>
      </c>
      <c r="AY59" s="14">
        <f t="shared" si="8"/>
        <v>116.36363636363637</v>
      </c>
      <c r="AZ59" s="14">
        <f t="shared" si="20"/>
        <v>116.36363636363637</v>
      </c>
    </row>
    <row r="60" spans="1:52" x14ac:dyDescent="0.45">
      <c r="A60" s="6">
        <v>11.2</v>
      </c>
      <c r="B60" s="1">
        <v>163</v>
      </c>
      <c r="C60" s="1">
        <v>163</v>
      </c>
      <c r="D60" s="1">
        <v>163</v>
      </c>
      <c r="E60" s="1">
        <v>163</v>
      </c>
      <c r="F60" s="1">
        <v>163</v>
      </c>
      <c r="G60">
        <v>163</v>
      </c>
      <c r="H60" s="4">
        <v>66.659152589633095</v>
      </c>
      <c r="I60" s="4">
        <v>66.659152589633095</v>
      </c>
      <c r="K60" s="6">
        <v>57</v>
      </c>
      <c r="L60" s="6">
        <v>11.2</v>
      </c>
      <c r="M60" s="1">
        <f t="shared" si="9"/>
        <v>1454</v>
      </c>
      <c r="N60" s="1">
        <f t="shared" si="10"/>
        <v>1454</v>
      </c>
      <c r="O60" s="1">
        <f t="shared" si="11"/>
        <v>1454</v>
      </c>
      <c r="P60" s="1">
        <f t="shared" si="12"/>
        <v>1454</v>
      </c>
      <c r="Q60" s="1">
        <f t="shared" si="13"/>
        <v>1454</v>
      </c>
      <c r="R60" s="1">
        <f t="shared" si="14"/>
        <v>1454</v>
      </c>
      <c r="S60" s="1">
        <f t="shared" si="15"/>
        <v>1454</v>
      </c>
      <c r="T60" s="5">
        <f t="shared" si="35"/>
        <v>2000</v>
      </c>
      <c r="U60" s="2"/>
      <c r="V60" s="6">
        <v>11.2</v>
      </c>
      <c r="W60">
        <f t="shared" si="16"/>
        <v>9.5507812499999997E-2</v>
      </c>
      <c r="X60">
        <f t="shared" si="21"/>
        <v>9.5507812499999997E-2</v>
      </c>
      <c r="Y60">
        <f t="shared" si="22"/>
        <v>9.5507812499999997E-2</v>
      </c>
      <c r="Z60">
        <f t="shared" si="23"/>
        <v>9.5507812499999997E-2</v>
      </c>
      <c r="AA60">
        <f t="shared" si="24"/>
        <v>9.5507812499999997E-2</v>
      </c>
      <c r="AB60">
        <f t="shared" si="25"/>
        <v>9.5507812499999997E-2</v>
      </c>
      <c r="AD60" s="6">
        <v>11.2</v>
      </c>
      <c r="AE60" s="14">
        <f t="shared" si="17"/>
        <v>118.54545454545455</v>
      </c>
      <c r="AF60" s="14">
        <f t="shared" si="26"/>
        <v>118.54545454545455</v>
      </c>
      <c r="AG60" s="14">
        <f t="shared" si="27"/>
        <v>118.54545454545455</v>
      </c>
      <c r="AH60" s="14">
        <f t="shared" si="28"/>
        <v>118.54545454545455</v>
      </c>
      <c r="AI60" s="14">
        <f t="shared" si="29"/>
        <v>118.54545454545455</v>
      </c>
      <c r="AJ60" s="14">
        <f t="shared" si="29"/>
        <v>118.54545454545455</v>
      </c>
      <c r="AL60" s="6">
        <v>11.2</v>
      </c>
      <c r="AM60">
        <f t="shared" si="19"/>
        <v>9.5507812499999997E-2</v>
      </c>
      <c r="AN60">
        <f t="shared" si="30"/>
        <v>9.5507812499999997E-2</v>
      </c>
      <c r="AO60">
        <f t="shared" si="31"/>
        <v>9.5507812499999997E-2</v>
      </c>
      <c r="AP60">
        <f t="shared" si="32"/>
        <v>9.5507812499999997E-2</v>
      </c>
      <c r="AQ60">
        <f t="shared" si="33"/>
        <v>9.5507812499999997E-2</v>
      </c>
      <c r="AR60">
        <f t="shared" si="34"/>
        <v>9.5507812499999997E-2</v>
      </c>
      <c r="AT60" s="6">
        <v>11.2</v>
      </c>
      <c r="AU60" s="14">
        <f t="shared" si="18"/>
        <v>118.54545454545455</v>
      </c>
      <c r="AV60" s="14">
        <f t="shared" si="5"/>
        <v>118.54545454545455</v>
      </c>
      <c r="AW60" s="14">
        <f t="shared" si="6"/>
        <v>118.54545454545455</v>
      </c>
      <c r="AX60" s="14">
        <f t="shared" si="7"/>
        <v>118.54545454545455</v>
      </c>
      <c r="AY60" s="14">
        <f t="shared" si="8"/>
        <v>118.54545454545455</v>
      </c>
      <c r="AZ60" s="14">
        <f t="shared" si="20"/>
        <v>118.54545454545455</v>
      </c>
    </row>
    <row r="61" spans="1:52" x14ac:dyDescent="0.45">
      <c r="A61" s="6">
        <v>11.4</v>
      </c>
      <c r="B61" s="1">
        <v>166</v>
      </c>
      <c r="C61" s="1">
        <v>166</v>
      </c>
      <c r="D61" s="1">
        <v>166</v>
      </c>
      <c r="E61" s="1">
        <v>166</v>
      </c>
      <c r="F61" s="1">
        <v>166</v>
      </c>
      <c r="G61">
        <v>166</v>
      </c>
      <c r="H61" s="4">
        <v>66.941594491273847</v>
      </c>
      <c r="I61" s="4">
        <v>66.941594491273847</v>
      </c>
      <c r="K61" s="6">
        <v>58</v>
      </c>
      <c r="L61" s="6">
        <v>11.4</v>
      </c>
      <c r="M61" s="1">
        <f t="shared" si="9"/>
        <v>1454</v>
      </c>
      <c r="N61" s="1">
        <f t="shared" si="10"/>
        <v>1454</v>
      </c>
      <c r="O61" s="1">
        <f t="shared" si="11"/>
        <v>1454</v>
      </c>
      <c r="P61" s="1">
        <f t="shared" si="12"/>
        <v>1454</v>
      </c>
      <c r="Q61" s="1">
        <f t="shared" si="13"/>
        <v>1454</v>
      </c>
      <c r="R61" s="1">
        <f t="shared" si="14"/>
        <v>1454</v>
      </c>
      <c r="S61" s="1">
        <f t="shared" si="15"/>
        <v>1454</v>
      </c>
      <c r="T61" s="5">
        <f t="shared" si="35"/>
        <v>2000</v>
      </c>
      <c r="U61" s="2"/>
      <c r="V61" s="6">
        <v>11.4</v>
      </c>
      <c r="W61">
        <f t="shared" si="16"/>
        <v>9.7265624999999994E-2</v>
      </c>
      <c r="X61">
        <f t="shared" si="21"/>
        <v>9.7265624999999994E-2</v>
      </c>
      <c r="Y61">
        <f t="shared" si="22"/>
        <v>9.7265624999999994E-2</v>
      </c>
      <c r="Z61">
        <f t="shared" si="23"/>
        <v>9.7265624999999994E-2</v>
      </c>
      <c r="AA61">
        <f t="shared" si="24"/>
        <v>9.7265624999999994E-2</v>
      </c>
      <c r="AB61">
        <f t="shared" si="25"/>
        <v>9.7265624999999994E-2</v>
      </c>
      <c r="AD61" s="6">
        <v>11.4</v>
      </c>
      <c r="AE61" s="14">
        <f t="shared" si="17"/>
        <v>120.72727272727273</v>
      </c>
      <c r="AF61" s="14">
        <f t="shared" si="26"/>
        <v>120.72727272727273</v>
      </c>
      <c r="AG61" s="14">
        <f t="shared" si="27"/>
        <v>120.72727272727273</v>
      </c>
      <c r="AH61" s="14">
        <f t="shared" si="28"/>
        <v>120.72727272727273</v>
      </c>
      <c r="AI61" s="14">
        <f t="shared" si="29"/>
        <v>120.72727272727273</v>
      </c>
      <c r="AJ61" s="14">
        <f t="shared" si="29"/>
        <v>120.72727272727273</v>
      </c>
      <c r="AL61" s="6">
        <v>11.4</v>
      </c>
      <c r="AM61">
        <f t="shared" si="19"/>
        <v>9.7265624999999994E-2</v>
      </c>
      <c r="AN61">
        <f t="shared" si="30"/>
        <v>9.7265624999999994E-2</v>
      </c>
      <c r="AO61">
        <f t="shared" si="31"/>
        <v>9.7265624999999994E-2</v>
      </c>
      <c r="AP61">
        <f t="shared" si="32"/>
        <v>9.7265624999999994E-2</v>
      </c>
      <c r="AQ61">
        <f t="shared" si="33"/>
        <v>9.7265624999999994E-2</v>
      </c>
      <c r="AR61">
        <f t="shared" si="34"/>
        <v>9.7265624999999994E-2</v>
      </c>
      <c r="AT61" s="6">
        <v>11.4</v>
      </c>
      <c r="AU61" s="14">
        <f t="shared" si="18"/>
        <v>120.72727272727273</v>
      </c>
      <c r="AV61" s="14">
        <f t="shared" si="5"/>
        <v>120.72727272727273</v>
      </c>
      <c r="AW61" s="14">
        <f t="shared" si="6"/>
        <v>120.72727272727273</v>
      </c>
      <c r="AX61" s="14">
        <f t="shared" si="7"/>
        <v>120.72727272727273</v>
      </c>
      <c r="AY61" s="14">
        <f t="shared" si="8"/>
        <v>120.72727272727273</v>
      </c>
      <c r="AZ61" s="14">
        <f t="shared" si="20"/>
        <v>120.72727272727273</v>
      </c>
    </row>
    <row r="62" spans="1:52" x14ac:dyDescent="0.45">
      <c r="A62" s="6">
        <v>11.6</v>
      </c>
      <c r="B62" s="1">
        <v>169</v>
      </c>
      <c r="C62" s="1">
        <v>169</v>
      </c>
      <c r="D62" s="1">
        <v>169</v>
      </c>
      <c r="E62" s="1">
        <v>169</v>
      </c>
      <c r="F62" s="1">
        <v>169</v>
      </c>
      <c r="G62">
        <v>169</v>
      </c>
      <c r="H62" s="4">
        <v>67.219208089028882</v>
      </c>
      <c r="I62" s="4">
        <v>67.219208089028882</v>
      </c>
      <c r="K62" s="6">
        <v>59</v>
      </c>
      <c r="L62" s="6">
        <v>11.6</v>
      </c>
      <c r="M62" s="1">
        <f t="shared" si="9"/>
        <v>1454</v>
      </c>
      <c r="N62" s="1">
        <f t="shared" si="10"/>
        <v>1454</v>
      </c>
      <c r="O62" s="1">
        <f t="shared" si="11"/>
        <v>1454</v>
      </c>
      <c r="P62" s="1">
        <f t="shared" si="12"/>
        <v>1454</v>
      </c>
      <c r="Q62" s="1">
        <f t="shared" si="13"/>
        <v>1454</v>
      </c>
      <c r="R62" s="1">
        <f t="shared" si="14"/>
        <v>1454</v>
      </c>
      <c r="S62" s="1">
        <f t="shared" si="15"/>
        <v>1454</v>
      </c>
      <c r="T62" s="5">
        <f t="shared" si="35"/>
        <v>2000</v>
      </c>
      <c r="U62" s="2"/>
      <c r="V62" s="6">
        <v>11.6</v>
      </c>
      <c r="W62">
        <f t="shared" si="16"/>
        <v>9.9023437499999992E-2</v>
      </c>
      <c r="X62">
        <f t="shared" si="21"/>
        <v>9.9023437499999992E-2</v>
      </c>
      <c r="Y62">
        <f t="shared" si="22"/>
        <v>9.9023437499999992E-2</v>
      </c>
      <c r="Z62">
        <f t="shared" si="23"/>
        <v>9.9023437499999992E-2</v>
      </c>
      <c r="AA62">
        <f t="shared" si="24"/>
        <v>9.9023437499999992E-2</v>
      </c>
      <c r="AB62">
        <f t="shared" si="25"/>
        <v>9.9023437499999992E-2</v>
      </c>
      <c r="AD62" s="6">
        <v>11.6</v>
      </c>
      <c r="AE62" s="14">
        <f t="shared" si="17"/>
        <v>122.90909090909091</v>
      </c>
      <c r="AF62" s="14">
        <f t="shared" si="26"/>
        <v>122.90909090909091</v>
      </c>
      <c r="AG62" s="14">
        <f t="shared" si="27"/>
        <v>122.90909090909091</v>
      </c>
      <c r="AH62" s="14">
        <f t="shared" si="28"/>
        <v>122.90909090909091</v>
      </c>
      <c r="AI62" s="14">
        <f t="shared" si="29"/>
        <v>122.90909090909091</v>
      </c>
      <c r="AJ62" s="14">
        <f t="shared" si="29"/>
        <v>122.90909090909091</v>
      </c>
      <c r="AL62" s="6">
        <v>11.6</v>
      </c>
      <c r="AM62">
        <f t="shared" si="19"/>
        <v>9.9023437499999992E-2</v>
      </c>
      <c r="AN62">
        <f t="shared" si="30"/>
        <v>9.9023437499999992E-2</v>
      </c>
      <c r="AO62">
        <f t="shared" si="31"/>
        <v>9.9023437499999992E-2</v>
      </c>
      <c r="AP62">
        <f t="shared" si="32"/>
        <v>9.9023437499999992E-2</v>
      </c>
      <c r="AQ62">
        <f t="shared" si="33"/>
        <v>9.9023437499999992E-2</v>
      </c>
      <c r="AR62">
        <f t="shared" si="34"/>
        <v>9.9023437499999992E-2</v>
      </c>
      <c r="AT62" s="6">
        <v>11.6</v>
      </c>
      <c r="AU62" s="14">
        <f t="shared" si="18"/>
        <v>122.90909090909091</v>
      </c>
      <c r="AV62" s="14">
        <f t="shared" si="5"/>
        <v>122.90909090909091</v>
      </c>
      <c r="AW62" s="14">
        <f t="shared" si="6"/>
        <v>122.90909090909091</v>
      </c>
      <c r="AX62" s="14">
        <f t="shared" si="7"/>
        <v>122.90909090909091</v>
      </c>
      <c r="AY62" s="14">
        <f t="shared" si="8"/>
        <v>122.90909090909091</v>
      </c>
      <c r="AZ62" s="14">
        <f t="shared" si="20"/>
        <v>122.90909090909091</v>
      </c>
    </row>
    <row r="63" spans="1:52" x14ac:dyDescent="0.45">
      <c r="A63" s="6">
        <v>11.8</v>
      </c>
      <c r="B63" s="1">
        <v>172</v>
      </c>
      <c r="C63" s="1">
        <v>172</v>
      </c>
      <c r="D63" s="1">
        <v>172</v>
      </c>
      <c r="E63" s="1">
        <v>172</v>
      </c>
      <c r="F63" s="1">
        <v>172</v>
      </c>
      <c r="G63" s="4">
        <v>172</v>
      </c>
      <c r="H63" s="4">
        <v>67.492155690486911</v>
      </c>
      <c r="I63" s="4">
        <v>67.492155690486911</v>
      </c>
      <c r="K63" s="6">
        <v>60</v>
      </c>
      <c r="L63" s="6">
        <v>11.8</v>
      </c>
      <c r="M63" s="1">
        <f t="shared" si="9"/>
        <v>1454</v>
      </c>
      <c r="N63" s="1">
        <f t="shared" si="10"/>
        <v>1454</v>
      </c>
      <c r="O63" s="1">
        <f t="shared" si="11"/>
        <v>1454</v>
      </c>
      <c r="P63" s="1">
        <f t="shared" si="12"/>
        <v>1454</v>
      </c>
      <c r="Q63" s="1">
        <f t="shared" si="13"/>
        <v>1454</v>
      </c>
      <c r="R63" s="1">
        <f t="shared" si="14"/>
        <v>1454</v>
      </c>
      <c r="S63" s="1">
        <f t="shared" si="15"/>
        <v>1454</v>
      </c>
      <c r="T63" s="5">
        <f t="shared" si="35"/>
        <v>2000</v>
      </c>
      <c r="U63" s="2"/>
      <c r="V63" s="6">
        <v>11.8</v>
      </c>
      <c r="W63">
        <f t="shared" si="16"/>
        <v>0.10078125</v>
      </c>
      <c r="X63">
        <f t="shared" si="21"/>
        <v>0.10078125</v>
      </c>
      <c r="Y63">
        <f t="shared" si="22"/>
        <v>0.10078125</v>
      </c>
      <c r="Z63">
        <f t="shared" si="23"/>
        <v>0.10078125</v>
      </c>
      <c r="AA63">
        <f t="shared" si="24"/>
        <v>0.10078125</v>
      </c>
      <c r="AB63">
        <f t="shared" si="25"/>
        <v>0.10078125</v>
      </c>
      <c r="AD63" s="6">
        <v>11.8</v>
      </c>
      <c r="AE63" s="14">
        <f t="shared" si="17"/>
        <v>125.09090909090911</v>
      </c>
      <c r="AF63" s="14">
        <f t="shared" si="26"/>
        <v>125.09090909090911</v>
      </c>
      <c r="AG63" s="14">
        <f t="shared" si="27"/>
        <v>125.09090909090911</v>
      </c>
      <c r="AH63" s="14">
        <f t="shared" si="28"/>
        <v>125.09090909090911</v>
      </c>
      <c r="AI63" s="14">
        <f t="shared" si="29"/>
        <v>125.09090909090911</v>
      </c>
      <c r="AJ63" s="14">
        <f t="shared" si="29"/>
        <v>125.09090909090911</v>
      </c>
      <c r="AL63" s="6">
        <v>11.8</v>
      </c>
      <c r="AM63">
        <f t="shared" si="19"/>
        <v>0.10078125</v>
      </c>
      <c r="AN63">
        <f t="shared" si="30"/>
        <v>0.10078125</v>
      </c>
      <c r="AO63">
        <f t="shared" si="31"/>
        <v>0.10078125</v>
      </c>
      <c r="AP63">
        <f t="shared" si="32"/>
        <v>0.10078125</v>
      </c>
      <c r="AQ63">
        <f t="shared" si="33"/>
        <v>0.10078125</v>
      </c>
      <c r="AR63">
        <f t="shared" si="34"/>
        <v>0.10078125</v>
      </c>
      <c r="AT63" s="6">
        <v>11.8</v>
      </c>
      <c r="AU63" s="14">
        <f t="shared" si="18"/>
        <v>125.09090909090911</v>
      </c>
      <c r="AV63" s="14">
        <f t="shared" si="5"/>
        <v>125.09090909090911</v>
      </c>
      <c r="AW63" s="14">
        <f t="shared" si="6"/>
        <v>125.09090909090911</v>
      </c>
      <c r="AX63" s="14">
        <f t="shared" si="7"/>
        <v>125.09090909090911</v>
      </c>
      <c r="AY63" s="14">
        <f t="shared" si="8"/>
        <v>125.09090909090911</v>
      </c>
      <c r="AZ63" s="14">
        <f t="shared" si="20"/>
        <v>125.09090909090911</v>
      </c>
    </row>
  </sheetData>
  <mergeCells count="2">
    <mergeCell ref="B1:G1"/>
    <mergeCell ref="K2:L2"/>
  </mergeCells>
  <phoneticPr fontId="1" type="noConversion"/>
  <pageMargins left="0.7" right="0.7" top="0.75" bottom="0.75" header="0.3" footer="0.3"/>
  <pageSetup paperSize="9" scale="17" orientation="portrait" r:id="rId1"/>
  <colBreaks count="1" manualBreakCount="1">
    <brk id="10" max="6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91726-A159-4B09-A0F6-12A17740C110}">
  <dimension ref="A1:N60"/>
  <sheetViews>
    <sheetView topLeftCell="A38" zoomScale="130" zoomScaleNormal="130" workbookViewId="0">
      <selection activeCell="H1" sqref="H1:M60"/>
    </sheetView>
  </sheetViews>
  <sheetFormatPr defaultRowHeight="17" x14ac:dyDescent="0.45"/>
  <sheetData>
    <row r="1" spans="1:14" x14ac:dyDescent="0.45">
      <c r="A1" s="12">
        <v>0.72727272727272729</v>
      </c>
      <c r="B1" s="12">
        <v>0.72727272727272729</v>
      </c>
      <c r="C1" s="12">
        <v>0.72727272727272729</v>
      </c>
      <c r="D1" s="12">
        <v>0.72727272727272729</v>
      </c>
      <c r="E1" s="12">
        <v>0.72727272727272729</v>
      </c>
      <c r="F1" s="12">
        <v>0.72727272727272729</v>
      </c>
      <c r="H1">
        <f>ROUND(A1,0)</f>
        <v>1</v>
      </c>
      <c r="I1">
        <f t="shared" ref="I1:N16" si="0">ROUND(B1,0)</f>
        <v>1</v>
      </c>
      <c r="J1">
        <f t="shared" si="0"/>
        <v>1</v>
      </c>
      <c r="K1">
        <f t="shared" si="0"/>
        <v>1</v>
      </c>
      <c r="L1">
        <f t="shared" si="0"/>
        <v>1</v>
      </c>
      <c r="M1">
        <f t="shared" si="0"/>
        <v>1</v>
      </c>
      <c r="N1">
        <f t="shared" si="0"/>
        <v>0</v>
      </c>
    </row>
    <row r="2" spans="1:14" x14ac:dyDescent="0.45">
      <c r="A2" s="12">
        <v>2.9090909090909092</v>
      </c>
      <c r="B2" s="12">
        <v>5.0909090909090917</v>
      </c>
      <c r="C2" s="12">
        <v>10.181818181818183</v>
      </c>
      <c r="D2" s="12">
        <v>13.09090909090909</v>
      </c>
      <c r="E2" s="12">
        <v>16</v>
      </c>
      <c r="F2" s="12">
        <v>18.90909090909091</v>
      </c>
      <c r="H2">
        <f t="shared" ref="H2:H60" si="1">ROUND(A2,0)</f>
        <v>3</v>
      </c>
      <c r="I2">
        <f t="shared" si="0"/>
        <v>5</v>
      </c>
      <c r="J2">
        <f t="shared" si="0"/>
        <v>10</v>
      </c>
      <c r="K2">
        <f t="shared" si="0"/>
        <v>13</v>
      </c>
      <c r="L2">
        <f t="shared" si="0"/>
        <v>16</v>
      </c>
      <c r="M2">
        <f t="shared" si="0"/>
        <v>19</v>
      </c>
      <c r="N2">
        <f t="shared" si="0"/>
        <v>0</v>
      </c>
    </row>
    <row r="3" spans="1:14" x14ac:dyDescent="0.45">
      <c r="A3" s="12">
        <v>5.8181818181818183</v>
      </c>
      <c r="B3" s="12">
        <v>7.2727272727272734</v>
      </c>
      <c r="C3" s="12">
        <v>11.636363636363637</v>
      </c>
      <c r="D3" s="12">
        <v>14.545454545454547</v>
      </c>
      <c r="E3" s="12">
        <v>17.454545454545453</v>
      </c>
      <c r="F3" s="12">
        <v>20.363636363636367</v>
      </c>
      <c r="H3">
        <f t="shared" si="1"/>
        <v>6</v>
      </c>
      <c r="I3">
        <f t="shared" si="0"/>
        <v>7</v>
      </c>
      <c r="J3">
        <f t="shared" si="0"/>
        <v>12</v>
      </c>
      <c r="K3">
        <f t="shared" si="0"/>
        <v>15</v>
      </c>
      <c r="L3">
        <f t="shared" si="0"/>
        <v>17</v>
      </c>
      <c r="M3">
        <f t="shared" si="0"/>
        <v>20</v>
      </c>
      <c r="N3">
        <f t="shared" si="0"/>
        <v>0</v>
      </c>
    </row>
    <row r="4" spans="1:14" x14ac:dyDescent="0.45">
      <c r="A4" s="12">
        <v>8.7272727272727266</v>
      </c>
      <c r="B4" s="12">
        <v>9.454545454545455</v>
      </c>
      <c r="C4" s="12">
        <v>13.09090909090909</v>
      </c>
      <c r="D4" s="12">
        <v>16</v>
      </c>
      <c r="E4" s="12">
        <v>18.90909090909091</v>
      </c>
      <c r="F4" s="12">
        <v>21.81818181818182</v>
      </c>
      <c r="H4">
        <f t="shared" si="1"/>
        <v>9</v>
      </c>
      <c r="I4">
        <f t="shared" si="0"/>
        <v>9</v>
      </c>
      <c r="J4">
        <f t="shared" si="0"/>
        <v>13</v>
      </c>
      <c r="K4">
        <f t="shared" si="0"/>
        <v>16</v>
      </c>
      <c r="L4">
        <f t="shared" si="0"/>
        <v>19</v>
      </c>
      <c r="M4">
        <f t="shared" si="0"/>
        <v>22</v>
      </c>
      <c r="N4">
        <f t="shared" si="0"/>
        <v>0</v>
      </c>
    </row>
    <row r="5" spans="1:14" x14ac:dyDescent="0.45">
      <c r="A5" s="12">
        <v>11.636363636363637</v>
      </c>
      <c r="B5" s="12">
        <v>11.636363636363637</v>
      </c>
      <c r="C5" s="12">
        <v>14.545454545454547</v>
      </c>
      <c r="D5" s="12">
        <v>17.454545454545453</v>
      </c>
      <c r="E5" s="12">
        <v>20.363636363636367</v>
      </c>
      <c r="F5" s="12">
        <v>23.272727272727273</v>
      </c>
      <c r="H5">
        <f t="shared" si="1"/>
        <v>12</v>
      </c>
      <c r="I5">
        <f t="shared" si="0"/>
        <v>12</v>
      </c>
      <c r="J5">
        <f t="shared" si="0"/>
        <v>15</v>
      </c>
      <c r="K5">
        <f t="shared" si="0"/>
        <v>17</v>
      </c>
      <c r="L5">
        <f t="shared" si="0"/>
        <v>20</v>
      </c>
      <c r="M5">
        <f t="shared" si="0"/>
        <v>23</v>
      </c>
      <c r="N5">
        <f t="shared" si="0"/>
        <v>0</v>
      </c>
    </row>
    <row r="6" spans="1:14" x14ac:dyDescent="0.45">
      <c r="A6" s="12">
        <v>14.545454545454547</v>
      </c>
      <c r="B6" s="12">
        <v>14.545454545454547</v>
      </c>
      <c r="C6" s="12">
        <v>16</v>
      </c>
      <c r="D6" s="12">
        <v>18.90909090909091</v>
      </c>
      <c r="E6" s="12">
        <v>21.81818181818182</v>
      </c>
      <c r="F6" s="12">
        <v>24.727272727272727</v>
      </c>
      <c r="H6">
        <f t="shared" si="1"/>
        <v>15</v>
      </c>
      <c r="I6">
        <f t="shared" si="0"/>
        <v>15</v>
      </c>
      <c r="J6">
        <f t="shared" si="0"/>
        <v>16</v>
      </c>
      <c r="K6">
        <f t="shared" si="0"/>
        <v>19</v>
      </c>
      <c r="L6">
        <f t="shared" si="0"/>
        <v>22</v>
      </c>
      <c r="M6">
        <f t="shared" si="0"/>
        <v>25</v>
      </c>
      <c r="N6">
        <f t="shared" si="0"/>
        <v>0</v>
      </c>
    </row>
    <row r="7" spans="1:14" x14ac:dyDescent="0.45">
      <c r="A7" s="12">
        <v>17.454545454545453</v>
      </c>
      <c r="B7" s="12">
        <v>17.454545454545453</v>
      </c>
      <c r="C7" s="12">
        <v>17.454545454545453</v>
      </c>
      <c r="D7" s="12">
        <v>20.363636363636367</v>
      </c>
      <c r="E7" s="12">
        <v>23.272727272727273</v>
      </c>
      <c r="F7" s="12">
        <v>26.18181818181818</v>
      </c>
      <c r="H7">
        <f t="shared" si="1"/>
        <v>17</v>
      </c>
      <c r="I7">
        <f t="shared" si="0"/>
        <v>17</v>
      </c>
      <c r="J7">
        <f t="shared" si="0"/>
        <v>17</v>
      </c>
      <c r="K7">
        <f t="shared" si="0"/>
        <v>20</v>
      </c>
      <c r="L7">
        <f t="shared" si="0"/>
        <v>23</v>
      </c>
      <c r="M7">
        <f t="shared" si="0"/>
        <v>26</v>
      </c>
      <c r="N7">
        <f t="shared" si="0"/>
        <v>0</v>
      </c>
    </row>
    <row r="8" spans="1:14" x14ac:dyDescent="0.45">
      <c r="A8" s="12">
        <v>20.363636363636367</v>
      </c>
      <c r="B8" s="12">
        <v>20.363636363636367</v>
      </c>
      <c r="C8" s="12">
        <v>20.363636363636367</v>
      </c>
      <c r="D8" s="12">
        <v>21.81818181818182</v>
      </c>
      <c r="E8" s="12">
        <v>24.727272727272727</v>
      </c>
      <c r="F8" s="12">
        <v>27.63636363636364</v>
      </c>
      <c r="H8">
        <f t="shared" si="1"/>
        <v>20</v>
      </c>
      <c r="I8">
        <f t="shared" si="0"/>
        <v>20</v>
      </c>
      <c r="J8">
        <f t="shared" si="0"/>
        <v>20</v>
      </c>
      <c r="K8">
        <f t="shared" si="0"/>
        <v>22</v>
      </c>
      <c r="L8">
        <f t="shared" si="0"/>
        <v>25</v>
      </c>
      <c r="M8">
        <f t="shared" si="0"/>
        <v>28</v>
      </c>
      <c r="N8">
        <f t="shared" si="0"/>
        <v>0</v>
      </c>
    </row>
    <row r="9" spans="1:14" x14ac:dyDescent="0.45">
      <c r="A9" s="12">
        <v>23.272727272727273</v>
      </c>
      <c r="B9" s="12">
        <v>23.272727272727273</v>
      </c>
      <c r="C9" s="12">
        <v>23.272727272727273</v>
      </c>
      <c r="D9" s="12">
        <v>23.272727272727273</v>
      </c>
      <c r="E9" s="12">
        <v>26.18181818181818</v>
      </c>
      <c r="F9" s="12">
        <v>29.090909090909093</v>
      </c>
      <c r="H9">
        <f t="shared" si="1"/>
        <v>23</v>
      </c>
      <c r="I9">
        <f t="shared" si="0"/>
        <v>23</v>
      </c>
      <c r="J9">
        <f t="shared" si="0"/>
        <v>23</v>
      </c>
      <c r="K9">
        <f t="shared" si="0"/>
        <v>23</v>
      </c>
      <c r="L9">
        <f t="shared" si="0"/>
        <v>26</v>
      </c>
      <c r="M9">
        <f t="shared" si="0"/>
        <v>29</v>
      </c>
      <c r="N9">
        <f t="shared" si="0"/>
        <v>0</v>
      </c>
    </row>
    <row r="10" spans="1:14" x14ac:dyDescent="0.45">
      <c r="A10" s="12">
        <v>26.18181818181818</v>
      </c>
      <c r="B10" s="12">
        <v>26.18181818181818</v>
      </c>
      <c r="C10" s="12">
        <v>26.18181818181818</v>
      </c>
      <c r="D10" s="12">
        <v>26.18181818181818</v>
      </c>
      <c r="E10" s="12">
        <v>27.63636363636364</v>
      </c>
      <c r="F10" s="12">
        <v>30.545454545454547</v>
      </c>
      <c r="H10">
        <f t="shared" si="1"/>
        <v>26</v>
      </c>
      <c r="I10">
        <f t="shared" si="0"/>
        <v>26</v>
      </c>
      <c r="J10">
        <f t="shared" si="0"/>
        <v>26</v>
      </c>
      <c r="K10">
        <f t="shared" si="0"/>
        <v>26</v>
      </c>
      <c r="L10">
        <f t="shared" si="0"/>
        <v>28</v>
      </c>
      <c r="M10">
        <f t="shared" si="0"/>
        <v>31</v>
      </c>
      <c r="N10">
        <f t="shared" si="0"/>
        <v>0</v>
      </c>
    </row>
    <row r="11" spans="1:14" x14ac:dyDescent="0.45">
      <c r="A11" s="12">
        <v>29.090909090909093</v>
      </c>
      <c r="B11" s="12">
        <v>29.090909090909093</v>
      </c>
      <c r="C11" s="12">
        <v>29.090909090909093</v>
      </c>
      <c r="D11" s="12">
        <v>29.090909090909093</v>
      </c>
      <c r="E11" s="12">
        <v>29.090909090909093</v>
      </c>
      <c r="F11" s="12">
        <v>32</v>
      </c>
      <c r="H11">
        <f t="shared" si="1"/>
        <v>29</v>
      </c>
      <c r="I11">
        <f t="shared" si="0"/>
        <v>29</v>
      </c>
      <c r="J11">
        <f t="shared" si="0"/>
        <v>29</v>
      </c>
      <c r="K11">
        <f t="shared" si="0"/>
        <v>29</v>
      </c>
      <c r="L11">
        <f t="shared" si="0"/>
        <v>29</v>
      </c>
      <c r="M11">
        <f t="shared" si="0"/>
        <v>32</v>
      </c>
      <c r="N11">
        <f t="shared" si="0"/>
        <v>0</v>
      </c>
    </row>
    <row r="12" spans="1:14" x14ac:dyDescent="0.45">
      <c r="A12" s="12">
        <v>32</v>
      </c>
      <c r="B12" s="12">
        <v>32</v>
      </c>
      <c r="C12" s="12">
        <v>32</v>
      </c>
      <c r="D12" s="12">
        <v>32</v>
      </c>
      <c r="E12" s="12">
        <v>32</v>
      </c>
      <c r="F12" s="12">
        <v>33.454545454545453</v>
      </c>
      <c r="H12">
        <f t="shared" si="1"/>
        <v>32</v>
      </c>
      <c r="I12">
        <f t="shared" si="0"/>
        <v>32</v>
      </c>
      <c r="J12">
        <f t="shared" si="0"/>
        <v>32</v>
      </c>
      <c r="K12">
        <f t="shared" si="0"/>
        <v>32</v>
      </c>
      <c r="L12">
        <f t="shared" si="0"/>
        <v>32</v>
      </c>
      <c r="M12">
        <f t="shared" si="0"/>
        <v>33</v>
      </c>
      <c r="N12">
        <f t="shared" si="0"/>
        <v>0</v>
      </c>
    </row>
    <row r="13" spans="1:14" x14ac:dyDescent="0.45">
      <c r="A13" s="12">
        <v>34.909090909090907</v>
      </c>
      <c r="B13" s="12">
        <v>34.909090909090907</v>
      </c>
      <c r="C13" s="12">
        <v>34.909090909090907</v>
      </c>
      <c r="D13" s="12">
        <v>34.909090909090907</v>
      </c>
      <c r="E13" s="12">
        <v>34.909090909090907</v>
      </c>
      <c r="F13" s="12">
        <v>34.909090909090907</v>
      </c>
      <c r="H13">
        <f t="shared" si="1"/>
        <v>35</v>
      </c>
      <c r="I13">
        <f t="shared" si="0"/>
        <v>35</v>
      </c>
      <c r="J13">
        <f t="shared" si="0"/>
        <v>35</v>
      </c>
      <c r="K13">
        <f t="shared" si="0"/>
        <v>35</v>
      </c>
      <c r="L13">
        <f t="shared" si="0"/>
        <v>35</v>
      </c>
      <c r="M13">
        <f t="shared" si="0"/>
        <v>35</v>
      </c>
      <c r="N13">
        <f t="shared" si="0"/>
        <v>0</v>
      </c>
    </row>
    <row r="14" spans="1:14" x14ac:dyDescent="0.45">
      <c r="A14" s="12">
        <v>37.81818181818182</v>
      </c>
      <c r="B14" s="12">
        <v>37.81818181818182</v>
      </c>
      <c r="C14" s="12">
        <v>37.81818181818182</v>
      </c>
      <c r="D14" s="12">
        <v>37.81818181818182</v>
      </c>
      <c r="E14" s="12">
        <v>37.81818181818182</v>
      </c>
      <c r="F14" s="12">
        <v>37.81818181818182</v>
      </c>
      <c r="H14">
        <f t="shared" si="1"/>
        <v>38</v>
      </c>
      <c r="I14">
        <f t="shared" si="0"/>
        <v>38</v>
      </c>
      <c r="J14">
        <f t="shared" si="0"/>
        <v>38</v>
      </c>
      <c r="K14">
        <f t="shared" si="0"/>
        <v>38</v>
      </c>
      <c r="L14">
        <f t="shared" si="0"/>
        <v>38</v>
      </c>
      <c r="M14">
        <f t="shared" si="0"/>
        <v>38</v>
      </c>
      <c r="N14">
        <f t="shared" si="0"/>
        <v>0</v>
      </c>
    </row>
    <row r="15" spans="1:14" x14ac:dyDescent="0.45">
      <c r="A15" s="12">
        <v>40.727272727272734</v>
      </c>
      <c r="B15" s="12">
        <v>40.727272727272734</v>
      </c>
      <c r="C15" s="12">
        <v>40.727272727272734</v>
      </c>
      <c r="D15" s="12">
        <v>40.727272727272734</v>
      </c>
      <c r="E15" s="12">
        <v>40.727272727272734</v>
      </c>
      <c r="F15" s="12">
        <v>40.727272727272734</v>
      </c>
      <c r="H15">
        <f t="shared" si="1"/>
        <v>41</v>
      </c>
      <c r="I15">
        <f t="shared" si="0"/>
        <v>41</v>
      </c>
      <c r="J15">
        <f t="shared" si="0"/>
        <v>41</v>
      </c>
      <c r="K15">
        <f t="shared" si="0"/>
        <v>41</v>
      </c>
      <c r="L15">
        <f t="shared" si="0"/>
        <v>41</v>
      </c>
      <c r="M15">
        <f t="shared" si="0"/>
        <v>41</v>
      </c>
      <c r="N15">
        <f t="shared" si="0"/>
        <v>0</v>
      </c>
    </row>
    <row r="16" spans="1:14" x14ac:dyDescent="0.45">
      <c r="A16" s="12">
        <v>43.63636363636364</v>
      </c>
      <c r="B16" s="12">
        <v>43.63636363636364</v>
      </c>
      <c r="C16" s="12">
        <v>43.63636363636364</v>
      </c>
      <c r="D16" s="12">
        <v>43.63636363636364</v>
      </c>
      <c r="E16" s="12">
        <v>43.63636363636364</v>
      </c>
      <c r="F16" s="12">
        <v>43.63636363636364</v>
      </c>
      <c r="H16">
        <f t="shared" si="1"/>
        <v>44</v>
      </c>
      <c r="I16">
        <f t="shared" si="0"/>
        <v>44</v>
      </c>
      <c r="J16">
        <f t="shared" si="0"/>
        <v>44</v>
      </c>
      <c r="K16">
        <f t="shared" si="0"/>
        <v>44</v>
      </c>
      <c r="L16">
        <f t="shared" si="0"/>
        <v>44</v>
      </c>
      <c r="M16">
        <f t="shared" si="0"/>
        <v>44</v>
      </c>
      <c r="N16">
        <f t="shared" si="0"/>
        <v>0</v>
      </c>
    </row>
    <row r="17" spans="1:14" x14ac:dyDescent="0.45">
      <c r="A17" s="12">
        <v>46.545454545454547</v>
      </c>
      <c r="B17" s="12">
        <v>46.545454545454547</v>
      </c>
      <c r="C17" s="12">
        <v>46.545454545454547</v>
      </c>
      <c r="D17" s="12">
        <v>46.545454545454547</v>
      </c>
      <c r="E17" s="12">
        <v>46.545454545454547</v>
      </c>
      <c r="F17" s="12">
        <v>46.545454545454547</v>
      </c>
      <c r="H17">
        <f t="shared" si="1"/>
        <v>47</v>
      </c>
      <c r="I17">
        <f t="shared" ref="I17:I60" si="2">ROUND(B17,0)</f>
        <v>47</v>
      </c>
      <c r="J17">
        <f t="shared" ref="J17:J60" si="3">ROUND(C17,0)</f>
        <v>47</v>
      </c>
      <c r="K17">
        <f t="shared" ref="K17:K60" si="4">ROUND(D17,0)</f>
        <v>47</v>
      </c>
      <c r="L17">
        <f t="shared" ref="L17:L60" si="5">ROUND(E17,0)</f>
        <v>47</v>
      </c>
      <c r="M17">
        <f t="shared" ref="M17:M60" si="6">ROUND(F17,0)</f>
        <v>47</v>
      </c>
      <c r="N17">
        <f t="shared" ref="N17:N60" si="7">ROUND(G17,0)</f>
        <v>0</v>
      </c>
    </row>
    <row r="18" spans="1:14" x14ac:dyDescent="0.45">
      <c r="A18" s="12">
        <v>49.454545454545453</v>
      </c>
      <c r="B18" s="12">
        <v>49.454545454545453</v>
      </c>
      <c r="C18" s="12">
        <v>49.454545454545453</v>
      </c>
      <c r="D18" s="12">
        <v>49.454545454545453</v>
      </c>
      <c r="E18" s="12">
        <v>49.454545454545453</v>
      </c>
      <c r="F18" s="12">
        <v>49.454545454545453</v>
      </c>
      <c r="H18">
        <f t="shared" si="1"/>
        <v>49</v>
      </c>
      <c r="I18">
        <f t="shared" si="2"/>
        <v>49</v>
      </c>
      <c r="J18">
        <f t="shared" si="3"/>
        <v>49</v>
      </c>
      <c r="K18">
        <f t="shared" si="4"/>
        <v>49</v>
      </c>
      <c r="L18">
        <f t="shared" si="5"/>
        <v>49</v>
      </c>
      <c r="M18">
        <f t="shared" si="6"/>
        <v>49</v>
      </c>
      <c r="N18">
        <f t="shared" si="7"/>
        <v>0</v>
      </c>
    </row>
    <row r="19" spans="1:14" x14ac:dyDescent="0.45">
      <c r="A19" s="12">
        <v>52.36363636363636</v>
      </c>
      <c r="B19" s="12">
        <v>52.36363636363636</v>
      </c>
      <c r="C19" s="12">
        <v>52.36363636363636</v>
      </c>
      <c r="D19" s="12">
        <v>52.36363636363636</v>
      </c>
      <c r="E19" s="12">
        <v>52.36363636363636</v>
      </c>
      <c r="F19" s="12">
        <v>52.36363636363636</v>
      </c>
      <c r="H19">
        <f t="shared" si="1"/>
        <v>52</v>
      </c>
      <c r="I19">
        <f t="shared" si="2"/>
        <v>52</v>
      </c>
      <c r="J19">
        <f t="shared" si="3"/>
        <v>52</v>
      </c>
      <c r="K19">
        <f t="shared" si="4"/>
        <v>52</v>
      </c>
      <c r="L19">
        <f t="shared" si="5"/>
        <v>52</v>
      </c>
      <c r="M19">
        <f t="shared" si="6"/>
        <v>52</v>
      </c>
      <c r="N19">
        <f t="shared" si="7"/>
        <v>0</v>
      </c>
    </row>
    <row r="20" spans="1:14" x14ac:dyDescent="0.45">
      <c r="A20" s="12">
        <v>55.27272727272728</v>
      </c>
      <c r="B20" s="12">
        <v>55.27272727272728</v>
      </c>
      <c r="C20" s="12">
        <v>55.27272727272728</v>
      </c>
      <c r="D20" s="12">
        <v>55.27272727272728</v>
      </c>
      <c r="E20" s="12">
        <v>55.27272727272728</v>
      </c>
      <c r="F20" s="12">
        <v>55.27272727272728</v>
      </c>
      <c r="H20">
        <f t="shared" si="1"/>
        <v>55</v>
      </c>
      <c r="I20">
        <f t="shared" si="2"/>
        <v>55</v>
      </c>
      <c r="J20">
        <f t="shared" si="3"/>
        <v>55</v>
      </c>
      <c r="K20">
        <f t="shared" si="4"/>
        <v>55</v>
      </c>
      <c r="L20">
        <f t="shared" si="5"/>
        <v>55</v>
      </c>
      <c r="M20">
        <f t="shared" si="6"/>
        <v>55</v>
      </c>
      <c r="N20">
        <f t="shared" si="7"/>
        <v>0</v>
      </c>
    </row>
    <row r="21" spans="1:14" x14ac:dyDescent="0.45">
      <c r="A21" s="12">
        <v>58.181818181818187</v>
      </c>
      <c r="B21" s="12">
        <v>58.181818181818187</v>
      </c>
      <c r="C21" s="12">
        <v>58.181818181818187</v>
      </c>
      <c r="D21" s="12">
        <v>58.181818181818187</v>
      </c>
      <c r="E21" s="12">
        <v>58.181818181818187</v>
      </c>
      <c r="F21" s="12">
        <v>58.181818181818187</v>
      </c>
      <c r="H21">
        <f t="shared" si="1"/>
        <v>58</v>
      </c>
      <c r="I21">
        <f t="shared" si="2"/>
        <v>58</v>
      </c>
      <c r="J21">
        <f t="shared" si="3"/>
        <v>58</v>
      </c>
      <c r="K21">
        <f t="shared" si="4"/>
        <v>58</v>
      </c>
      <c r="L21">
        <f t="shared" si="5"/>
        <v>58</v>
      </c>
      <c r="M21">
        <f t="shared" si="6"/>
        <v>58</v>
      </c>
      <c r="N21">
        <f t="shared" si="7"/>
        <v>0</v>
      </c>
    </row>
    <row r="22" spans="1:14" x14ac:dyDescent="0.45">
      <c r="A22" s="12">
        <v>61.090909090909093</v>
      </c>
      <c r="B22" s="12">
        <v>61.090909090909093</v>
      </c>
      <c r="C22" s="12">
        <v>61.090909090909093</v>
      </c>
      <c r="D22" s="12">
        <v>61.090909090909093</v>
      </c>
      <c r="E22" s="12">
        <v>61.090909090909093</v>
      </c>
      <c r="F22" s="12">
        <v>61.090909090909093</v>
      </c>
      <c r="H22">
        <f t="shared" si="1"/>
        <v>61</v>
      </c>
      <c r="I22">
        <f t="shared" si="2"/>
        <v>61</v>
      </c>
      <c r="J22">
        <f t="shared" si="3"/>
        <v>61</v>
      </c>
      <c r="K22">
        <f t="shared" si="4"/>
        <v>61</v>
      </c>
      <c r="L22">
        <f t="shared" si="5"/>
        <v>61</v>
      </c>
      <c r="M22">
        <f t="shared" si="6"/>
        <v>61</v>
      </c>
      <c r="N22">
        <f t="shared" si="7"/>
        <v>0</v>
      </c>
    </row>
    <row r="23" spans="1:14" x14ac:dyDescent="0.45">
      <c r="A23" s="12">
        <v>64</v>
      </c>
      <c r="B23" s="12">
        <v>64</v>
      </c>
      <c r="C23" s="12">
        <v>64</v>
      </c>
      <c r="D23" s="12">
        <v>64</v>
      </c>
      <c r="E23" s="12">
        <v>64</v>
      </c>
      <c r="F23" s="12">
        <v>64</v>
      </c>
      <c r="H23">
        <f t="shared" si="1"/>
        <v>64</v>
      </c>
      <c r="I23">
        <f t="shared" si="2"/>
        <v>64</v>
      </c>
      <c r="J23">
        <f t="shared" si="3"/>
        <v>64</v>
      </c>
      <c r="K23">
        <f t="shared" si="4"/>
        <v>64</v>
      </c>
      <c r="L23">
        <f t="shared" si="5"/>
        <v>64</v>
      </c>
      <c r="M23">
        <f t="shared" si="6"/>
        <v>64</v>
      </c>
      <c r="N23">
        <f t="shared" si="7"/>
        <v>0</v>
      </c>
    </row>
    <row r="24" spans="1:14" x14ac:dyDescent="0.45">
      <c r="A24" s="12">
        <v>66.909090909090907</v>
      </c>
      <c r="B24" s="12">
        <v>66.909090909090907</v>
      </c>
      <c r="C24" s="12">
        <v>66.909090909090907</v>
      </c>
      <c r="D24" s="12">
        <v>66.909090909090907</v>
      </c>
      <c r="E24" s="12">
        <v>66.909090909090907</v>
      </c>
      <c r="F24" s="12">
        <v>66.909090909090907</v>
      </c>
      <c r="H24">
        <f t="shared" si="1"/>
        <v>67</v>
      </c>
      <c r="I24">
        <f t="shared" si="2"/>
        <v>67</v>
      </c>
      <c r="J24">
        <f t="shared" si="3"/>
        <v>67</v>
      </c>
      <c r="K24">
        <f t="shared" si="4"/>
        <v>67</v>
      </c>
      <c r="L24">
        <f t="shared" si="5"/>
        <v>67</v>
      </c>
      <c r="M24">
        <f t="shared" si="6"/>
        <v>67</v>
      </c>
      <c r="N24">
        <f t="shared" si="7"/>
        <v>0</v>
      </c>
    </row>
    <row r="25" spans="1:14" x14ac:dyDescent="0.45">
      <c r="A25" s="12">
        <v>69.818181818181813</v>
      </c>
      <c r="B25" s="12">
        <v>69.818181818181813</v>
      </c>
      <c r="C25" s="12">
        <v>69.818181818181813</v>
      </c>
      <c r="D25" s="12">
        <v>69.818181818181813</v>
      </c>
      <c r="E25" s="12">
        <v>69.818181818181813</v>
      </c>
      <c r="F25" s="12">
        <v>69.818181818181813</v>
      </c>
      <c r="H25">
        <f t="shared" si="1"/>
        <v>70</v>
      </c>
      <c r="I25">
        <f t="shared" si="2"/>
        <v>70</v>
      </c>
      <c r="J25">
        <f t="shared" si="3"/>
        <v>70</v>
      </c>
      <c r="K25">
        <f t="shared" si="4"/>
        <v>70</v>
      </c>
      <c r="L25">
        <f t="shared" si="5"/>
        <v>70</v>
      </c>
      <c r="M25">
        <f t="shared" si="6"/>
        <v>70</v>
      </c>
      <c r="N25">
        <f t="shared" si="7"/>
        <v>0</v>
      </c>
    </row>
    <row r="26" spans="1:14" x14ac:dyDescent="0.45">
      <c r="A26" s="12">
        <v>72.727272727272734</v>
      </c>
      <c r="B26" s="12">
        <v>72.727272727272734</v>
      </c>
      <c r="C26" s="12">
        <v>72.727272727272734</v>
      </c>
      <c r="D26" s="12">
        <v>72.727272727272734</v>
      </c>
      <c r="E26" s="12">
        <v>72.727272727272734</v>
      </c>
      <c r="F26" s="12">
        <v>72.727272727272734</v>
      </c>
      <c r="H26">
        <f t="shared" si="1"/>
        <v>73</v>
      </c>
      <c r="I26">
        <f t="shared" si="2"/>
        <v>73</v>
      </c>
      <c r="J26">
        <f t="shared" si="3"/>
        <v>73</v>
      </c>
      <c r="K26">
        <f t="shared" si="4"/>
        <v>73</v>
      </c>
      <c r="L26">
        <f t="shared" si="5"/>
        <v>73</v>
      </c>
      <c r="M26">
        <f t="shared" si="6"/>
        <v>73</v>
      </c>
      <c r="N26">
        <f t="shared" si="7"/>
        <v>0</v>
      </c>
    </row>
    <row r="27" spans="1:14" x14ac:dyDescent="0.45">
      <c r="A27" s="10">
        <v>75.63636363636364</v>
      </c>
      <c r="B27" s="10">
        <v>75.63636363636364</v>
      </c>
      <c r="C27" s="10">
        <v>75.63636363636364</v>
      </c>
      <c r="D27" s="10">
        <v>75.63636363636364</v>
      </c>
      <c r="E27" s="10">
        <v>75.63636363636364</v>
      </c>
      <c r="F27">
        <v>75.63636363636364</v>
      </c>
      <c r="H27">
        <f t="shared" si="1"/>
        <v>76</v>
      </c>
      <c r="I27">
        <f t="shared" si="2"/>
        <v>76</v>
      </c>
      <c r="J27">
        <f t="shared" si="3"/>
        <v>76</v>
      </c>
      <c r="K27">
        <f t="shared" si="4"/>
        <v>76</v>
      </c>
      <c r="L27">
        <f t="shared" si="5"/>
        <v>76</v>
      </c>
      <c r="M27">
        <f t="shared" si="6"/>
        <v>76</v>
      </c>
      <c r="N27">
        <f t="shared" si="7"/>
        <v>0</v>
      </c>
    </row>
    <row r="28" spans="1:14" x14ac:dyDescent="0.45">
      <c r="A28" s="1">
        <v>78.545454545454547</v>
      </c>
      <c r="B28" s="1">
        <v>78.545454545454547</v>
      </c>
      <c r="C28" s="1">
        <v>78.545454545454547</v>
      </c>
      <c r="D28" s="1">
        <v>78.545454545454547</v>
      </c>
      <c r="E28" s="1">
        <v>78.545454545454547</v>
      </c>
      <c r="F28">
        <v>78.545454545454547</v>
      </c>
      <c r="H28">
        <f t="shared" si="1"/>
        <v>79</v>
      </c>
      <c r="I28">
        <f t="shared" si="2"/>
        <v>79</v>
      </c>
      <c r="J28">
        <f t="shared" si="3"/>
        <v>79</v>
      </c>
      <c r="K28">
        <f t="shared" si="4"/>
        <v>79</v>
      </c>
      <c r="L28">
        <f t="shared" si="5"/>
        <v>79</v>
      </c>
      <c r="M28">
        <f t="shared" si="6"/>
        <v>79</v>
      </c>
      <c r="N28">
        <f t="shared" si="7"/>
        <v>0</v>
      </c>
    </row>
    <row r="29" spans="1:14" x14ac:dyDescent="0.45">
      <c r="A29" s="1">
        <v>81.454545454545467</v>
      </c>
      <c r="B29" s="1">
        <v>81.454545454545467</v>
      </c>
      <c r="C29" s="1">
        <v>81.454545454545467</v>
      </c>
      <c r="D29" s="1">
        <v>81.454545454545467</v>
      </c>
      <c r="E29" s="1">
        <v>81.454545454545467</v>
      </c>
      <c r="F29">
        <v>81.454545454545467</v>
      </c>
      <c r="H29">
        <f t="shared" si="1"/>
        <v>81</v>
      </c>
      <c r="I29">
        <f t="shared" si="2"/>
        <v>81</v>
      </c>
      <c r="J29">
        <f t="shared" si="3"/>
        <v>81</v>
      </c>
      <c r="K29">
        <f t="shared" si="4"/>
        <v>81</v>
      </c>
      <c r="L29">
        <f t="shared" si="5"/>
        <v>81</v>
      </c>
      <c r="M29">
        <f t="shared" si="6"/>
        <v>81</v>
      </c>
      <c r="N29">
        <f t="shared" si="7"/>
        <v>0</v>
      </c>
    </row>
    <row r="30" spans="1:14" x14ac:dyDescent="0.45">
      <c r="A30" s="1">
        <v>84.36363636363636</v>
      </c>
      <c r="B30" s="1">
        <v>84.36363636363636</v>
      </c>
      <c r="C30" s="1">
        <v>84.36363636363636</v>
      </c>
      <c r="D30" s="1">
        <v>84.36363636363636</v>
      </c>
      <c r="E30" s="1">
        <v>84.36363636363636</v>
      </c>
      <c r="F30">
        <v>84.36363636363636</v>
      </c>
      <c r="H30">
        <f t="shared" si="1"/>
        <v>84</v>
      </c>
      <c r="I30">
        <f t="shared" si="2"/>
        <v>84</v>
      </c>
      <c r="J30">
        <f t="shared" si="3"/>
        <v>84</v>
      </c>
      <c r="K30">
        <f t="shared" si="4"/>
        <v>84</v>
      </c>
      <c r="L30">
        <f t="shared" si="5"/>
        <v>84</v>
      </c>
      <c r="M30">
        <f t="shared" si="6"/>
        <v>84</v>
      </c>
      <c r="N30">
        <f t="shared" si="7"/>
        <v>0</v>
      </c>
    </row>
    <row r="31" spans="1:14" x14ac:dyDescent="0.45">
      <c r="A31" s="1">
        <v>87.27272727272728</v>
      </c>
      <c r="B31" s="1">
        <v>87.27272727272728</v>
      </c>
      <c r="C31" s="1">
        <v>87.27272727272728</v>
      </c>
      <c r="D31" s="1">
        <v>87.27272727272728</v>
      </c>
      <c r="E31" s="1">
        <v>87.27272727272728</v>
      </c>
      <c r="F31">
        <v>87.27272727272728</v>
      </c>
      <c r="H31">
        <f t="shared" si="1"/>
        <v>87</v>
      </c>
      <c r="I31">
        <f t="shared" si="2"/>
        <v>87</v>
      </c>
      <c r="J31">
        <f t="shared" si="3"/>
        <v>87</v>
      </c>
      <c r="K31">
        <f t="shared" si="4"/>
        <v>87</v>
      </c>
      <c r="L31">
        <f t="shared" si="5"/>
        <v>87</v>
      </c>
      <c r="M31">
        <f t="shared" si="6"/>
        <v>87</v>
      </c>
      <c r="N31">
        <f t="shared" si="7"/>
        <v>0</v>
      </c>
    </row>
    <row r="32" spans="1:14" x14ac:dyDescent="0.45">
      <c r="A32" s="1">
        <v>90.181818181818173</v>
      </c>
      <c r="B32" s="1">
        <v>90.181818181818173</v>
      </c>
      <c r="C32" s="1">
        <v>90.181818181818173</v>
      </c>
      <c r="D32" s="1">
        <v>90.181818181818173</v>
      </c>
      <c r="E32" s="1">
        <v>90.181818181818173</v>
      </c>
      <c r="F32">
        <v>90.181818181818173</v>
      </c>
      <c r="H32">
        <f t="shared" si="1"/>
        <v>90</v>
      </c>
      <c r="I32">
        <f t="shared" si="2"/>
        <v>90</v>
      </c>
      <c r="J32">
        <f t="shared" si="3"/>
        <v>90</v>
      </c>
      <c r="K32">
        <f t="shared" si="4"/>
        <v>90</v>
      </c>
      <c r="L32">
        <f t="shared" si="5"/>
        <v>90</v>
      </c>
      <c r="M32">
        <f t="shared" si="6"/>
        <v>90</v>
      </c>
      <c r="N32">
        <f t="shared" si="7"/>
        <v>0</v>
      </c>
    </row>
    <row r="33" spans="1:14" x14ac:dyDescent="0.45">
      <c r="A33" s="1">
        <v>93.090909090909093</v>
      </c>
      <c r="B33" s="1">
        <v>93.090909090909093</v>
      </c>
      <c r="C33" s="1">
        <v>93.090909090909093</v>
      </c>
      <c r="D33" s="1">
        <v>93.090909090909093</v>
      </c>
      <c r="E33" s="1">
        <v>93.090909090909093</v>
      </c>
      <c r="F33">
        <v>93.090909090909093</v>
      </c>
      <c r="H33">
        <f t="shared" si="1"/>
        <v>93</v>
      </c>
      <c r="I33">
        <f t="shared" si="2"/>
        <v>93</v>
      </c>
      <c r="J33">
        <f t="shared" si="3"/>
        <v>93</v>
      </c>
      <c r="K33">
        <f t="shared" si="4"/>
        <v>93</v>
      </c>
      <c r="L33">
        <f t="shared" si="5"/>
        <v>93</v>
      </c>
      <c r="M33">
        <f t="shared" si="6"/>
        <v>93</v>
      </c>
      <c r="N33">
        <f t="shared" si="7"/>
        <v>0</v>
      </c>
    </row>
    <row r="34" spans="1:14" x14ac:dyDescent="0.45">
      <c r="A34" s="1">
        <v>96.000000000000014</v>
      </c>
      <c r="B34" s="1">
        <v>96.000000000000014</v>
      </c>
      <c r="C34" s="1">
        <v>96.000000000000014</v>
      </c>
      <c r="D34" s="1">
        <v>96.000000000000014</v>
      </c>
      <c r="E34" s="1">
        <v>96.000000000000014</v>
      </c>
      <c r="F34">
        <v>96.000000000000014</v>
      </c>
      <c r="H34">
        <f t="shared" si="1"/>
        <v>96</v>
      </c>
      <c r="I34">
        <f t="shared" si="2"/>
        <v>96</v>
      </c>
      <c r="J34">
        <f t="shared" si="3"/>
        <v>96</v>
      </c>
      <c r="K34">
        <f t="shared" si="4"/>
        <v>96</v>
      </c>
      <c r="L34">
        <f t="shared" si="5"/>
        <v>96</v>
      </c>
      <c r="M34">
        <f t="shared" si="6"/>
        <v>96</v>
      </c>
      <c r="N34">
        <f t="shared" si="7"/>
        <v>0</v>
      </c>
    </row>
    <row r="35" spans="1:14" x14ac:dyDescent="0.45">
      <c r="A35" s="1">
        <v>98.909090909090907</v>
      </c>
      <c r="B35" s="1">
        <v>98.909090909090907</v>
      </c>
      <c r="C35" s="1">
        <v>98.909090909090907</v>
      </c>
      <c r="D35" s="1">
        <v>98.909090909090907</v>
      </c>
      <c r="E35" s="1">
        <v>98.909090909090907</v>
      </c>
      <c r="F35">
        <v>98.909090909090907</v>
      </c>
      <c r="H35">
        <f t="shared" si="1"/>
        <v>99</v>
      </c>
      <c r="I35">
        <f t="shared" si="2"/>
        <v>99</v>
      </c>
      <c r="J35">
        <f t="shared" si="3"/>
        <v>99</v>
      </c>
      <c r="K35">
        <f t="shared" si="4"/>
        <v>99</v>
      </c>
      <c r="L35">
        <f t="shared" si="5"/>
        <v>99</v>
      </c>
      <c r="M35">
        <f t="shared" si="6"/>
        <v>99</v>
      </c>
      <c r="N35">
        <f t="shared" si="7"/>
        <v>0</v>
      </c>
    </row>
    <row r="36" spans="1:14" x14ac:dyDescent="0.45">
      <c r="A36" s="1">
        <v>101.81818181818183</v>
      </c>
      <c r="B36" s="1">
        <v>101.81818181818183</v>
      </c>
      <c r="C36" s="1">
        <v>101.81818181818183</v>
      </c>
      <c r="D36" s="1">
        <v>101.81818181818183</v>
      </c>
      <c r="E36" s="1">
        <v>101.81818181818183</v>
      </c>
      <c r="F36">
        <v>101.81818181818183</v>
      </c>
      <c r="H36">
        <f t="shared" si="1"/>
        <v>102</v>
      </c>
      <c r="I36">
        <f t="shared" si="2"/>
        <v>102</v>
      </c>
      <c r="J36">
        <f t="shared" si="3"/>
        <v>102</v>
      </c>
      <c r="K36">
        <f t="shared" si="4"/>
        <v>102</v>
      </c>
      <c r="L36">
        <f t="shared" si="5"/>
        <v>102</v>
      </c>
      <c r="M36">
        <f t="shared" si="6"/>
        <v>102</v>
      </c>
      <c r="N36">
        <f t="shared" si="7"/>
        <v>0</v>
      </c>
    </row>
    <row r="37" spans="1:14" x14ac:dyDescent="0.45">
      <c r="A37" s="1">
        <v>104.72727272727272</v>
      </c>
      <c r="B37" s="1">
        <v>104.72727272727272</v>
      </c>
      <c r="C37" s="1">
        <v>104.72727272727272</v>
      </c>
      <c r="D37" s="1">
        <v>104.72727272727272</v>
      </c>
      <c r="E37" s="1">
        <v>104.72727272727272</v>
      </c>
      <c r="F37">
        <v>104.72727272727272</v>
      </c>
      <c r="H37">
        <f t="shared" si="1"/>
        <v>105</v>
      </c>
      <c r="I37">
        <f t="shared" si="2"/>
        <v>105</v>
      </c>
      <c r="J37">
        <f t="shared" si="3"/>
        <v>105</v>
      </c>
      <c r="K37">
        <f t="shared" si="4"/>
        <v>105</v>
      </c>
      <c r="L37">
        <f t="shared" si="5"/>
        <v>105</v>
      </c>
      <c r="M37">
        <f t="shared" si="6"/>
        <v>105</v>
      </c>
      <c r="N37">
        <f t="shared" si="7"/>
        <v>0</v>
      </c>
    </row>
    <row r="38" spans="1:14" x14ac:dyDescent="0.45">
      <c r="A38" s="1">
        <v>107.63636363636364</v>
      </c>
      <c r="B38" s="1">
        <v>107.63636363636364</v>
      </c>
      <c r="C38" s="1">
        <v>107.63636363636364</v>
      </c>
      <c r="D38" s="1">
        <v>107.63636363636364</v>
      </c>
      <c r="E38" s="1">
        <v>107.63636363636364</v>
      </c>
      <c r="F38">
        <v>107.63636363636364</v>
      </c>
      <c r="H38">
        <f t="shared" si="1"/>
        <v>108</v>
      </c>
      <c r="I38">
        <f t="shared" si="2"/>
        <v>108</v>
      </c>
      <c r="J38">
        <f t="shared" si="3"/>
        <v>108</v>
      </c>
      <c r="K38">
        <f t="shared" si="4"/>
        <v>108</v>
      </c>
      <c r="L38">
        <f t="shared" si="5"/>
        <v>108</v>
      </c>
      <c r="M38">
        <f t="shared" si="6"/>
        <v>108</v>
      </c>
      <c r="N38">
        <f t="shared" si="7"/>
        <v>0</v>
      </c>
    </row>
    <row r="39" spans="1:14" x14ac:dyDescent="0.45">
      <c r="A39" s="1">
        <v>110.54545454545456</v>
      </c>
      <c r="B39" s="1">
        <v>110.54545454545456</v>
      </c>
      <c r="C39" s="1">
        <v>110.54545454545456</v>
      </c>
      <c r="D39" s="1">
        <v>110.54545454545456</v>
      </c>
      <c r="E39" s="1">
        <v>110.54545454545456</v>
      </c>
      <c r="F39">
        <v>110.54545454545456</v>
      </c>
      <c r="H39">
        <f t="shared" si="1"/>
        <v>111</v>
      </c>
      <c r="I39">
        <f t="shared" si="2"/>
        <v>111</v>
      </c>
      <c r="J39">
        <f t="shared" si="3"/>
        <v>111</v>
      </c>
      <c r="K39">
        <f t="shared" si="4"/>
        <v>111</v>
      </c>
      <c r="L39">
        <f t="shared" si="5"/>
        <v>111</v>
      </c>
      <c r="M39">
        <f t="shared" si="6"/>
        <v>111</v>
      </c>
      <c r="N39">
        <f t="shared" si="7"/>
        <v>0</v>
      </c>
    </row>
    <row r="40" spans="1:14" x14ac:dyDescent="0.45">
      <c r="A40" s="1">
        <v>113.45454545454545</v>
      </c>
      <c r="B40" s="1">
        <v>113.45454545454545</v>
      </c>
      <c r="C40" s="1">
        <v>113.45454545454545</v>
      </c>
      <c r="D40" s="1">
        <v>113.45454545454545</v>
      </c>
      <c r="E40" s="1">
        <v>113.45454545454545</v>
      </c>
      <c r="F40">
        <v>113.45454545454545</v>
      </c>
      <c r="H40">
        <f t="shared" si="1"/>
        <v>113</v>
      </c>
      <c r="I40">
        <f t="shared" si="2"/>
        <v>113</v>
      </c>
      <c r="J40">
        <f t="shared" si="3"/>
        <v>113</v>
      </c>
      <c r="K40">
        <f t="shared" si="4"/>
        <v>113</v>
      </c>
      <c r="L40">
        <f t="shared" si="5"/>
        <v>113</v>
      </c>
      <c r="M40">
        <f t="shared" si="6"/>
        <v>113</v>
      </c>
      <c r="N40">
        <f t="shared" si="7"/>
        <v>0</v>
      </c>
    </row>
    <row r="41" spans="1:14" x14ac:dyDescent="0.45">
      <c r="A41" s="1">
        <v>116.36363636363637</v>
      </c>
      <c r="B41" s="1">
        <v>116.36363636363637</v>
      </c>
      <c r="C41" s="1">
        <v>116.36363636363637</v>
      </c>
      <c r="D41" s="1">
        <v>116.36363636363637</v>
      </c>
      <c r="E41" s="1">
        <v>116.36363636363637</v>
      </c>
      <c r="F41">
        <v>116.36363636363637</v>
      </c>
      <c r="H41">
        <f t="shared" si="1"/>
        <v>116</v>
      </c>
      <c r="I41">
        <f t="shared" si="2"/>
        <v>116</v>
      </c>
      <c r="J41">
        <f t="shared" si="3"/>
        <v>116</v>
      </c>
      <c r="K41">
        <f t="shared" si="4"/>
        <v>116</v>
      </c>
      <c r="L41">
        <f t="shared" si="5"/>
        <v>116</v>
      </c>
      <c r="M41">
        <f t="shared" si="6"/>
        <v>116</v>
      </c>
      <c r="N41">
        <f t="shared" si="7"/>
        <v>0</v>
      </c>
    </row>
    <row r="42" spans="1:14" x14ac:dyDescent="0.45">
      <c r="A42" s="1">
        <v>119.27272727272727</v>
      </c>
      <c r="B42" s="1">
        <v>119.27272727272727</v>
      </c>
      <c r="C42" s="1">
        <v>119.27272727272727</v>
      </c>
      <c r="D42" s="1">
        <v>119.27272727272727</v>
      </c>
      <c r="E42" s="1">
        <v>119.27272727272727</v>
      </c>
      <c r="F42">
        <v>119.27272727272727</v>
      </c>
      <c r="H42">
        <f t="shared" si="1"/>
        <v>119</v>
      </c>
      <c r="I42">
        <f t="shared" si="2"/>
        <v>119</v>
      </c>
      <c r="J42">
        <f t="shared" si="3"/>
        <v>119</v>
      </c>
      <c r="K42">
        <f t="shared" si="4"/>
        <v>119</v>
      </c>
      <c r="L42">
        <f t="shared" si="5"/>
        <v>119</v>
      </c>
      <c r="M42">
        <f t="shared" si="6"/>
        <v>119</v>
      </c>
      <c r="N42">
        <f t="shared" si="7"/>
        <v>0</v>
      </c>
    </row>
    <row r="43" spans="1:14" x14ac:dyDescent="0.45">
      <c r="A43" s="1">
        <v>122.18181818181819</v>
      </c>
      <c r="B43" s="1">
        <v>122.18181818181819</v>
      </c>
      <c r="C43" s="1">
        <v>122.18181818181819</v>
      </c>
      <c r="D43" s="1">
        <v>122.18181818181819</v>
      </c>
      <c r="E43" s="1">
        <v>122.18181818181819</v>
      </c>
      <c r="F43">
        <v>122.18181818181819</v>
      </c>
      <c r="H43">
        <f t="shared" si="1"/>
        <v>122</v>
      </c>
      <c r="I43">
        <f t="shared" si="2"/>
        <v>122</v>
      </c>
      <c r="J43">
        <f t="shared" si="3"/>
        <v>122</v>
      </c>
      <c r="K43">
        <f t="shared" si="4"/>
        <v>122</v>
      </c>
      <c r="L43">
        <f t="shared" si="5"/>
        <v>122</v>
      </c>
      <c r="M43">
        <f t="shared" si="6"/>
        <v>122</v>
      </c>
      <c r="N43">
        <f t="shared" si="7"/>
        <v>0</v>
      </c>
    </row>
    <row r="44" spans="1:14" x14ac:dyDescent="0.45">
      <c r="A44" s="1">
        <v>125.09090909090911</v>
      </c>
      <c r="B44" s="1">
        <v>125.09090909090911</v>
      </c>
      <c r="C44" s="1">
        <v>125.09090909090911</v>
      </c>
      <c r="D44" s="1">
        <v>125.09090909090911</v>
      </c>
      <c r="E44" s="1">
        <v>125.09090909090911</v>
      </c>
      <c r="F44">
        <v>125.09090909090911</v>
      </c>
      <c r="H44">
        <f t="shared" si="1"/>
        <v>125</v>
      </c>
      <c r="I44">
        <f t="shared" si="2"/>
        <v>125</v>
      </c>
      <c r="J44">
        <f t="shared" si="3"/>
        <v>125</v>
      </c>
      <c r="K44">
        <f t="shared" si="4"/>
        <v>125</v>
      </c>
      <c r="L44">
        <f t="shared" si="5"/>
        <v>125</v>
      </c>
      <c r="M44">
        <f t="shared" si="6"/>
        <v>125</v>
      </c>
      <c r="N44">
        <f t="shared" si="7"/>
        <v>0</v>
      </c>
    </row>
    <row r="45" spans="1:14" x14ac:dyDescent="0.45">
      <c r="A45" s="1">
        <v>128</v>
      </c>
      <c r="B45" s="1">
        <v>128</v>
      </c>
      <c r="C45" s="1">
        <v>128</v>
      </c>
      <c r="D45" s="1">
        <v>128</v>
      </c>
      <c r="E45" s="1">
        <v>128</v>
      </c>
      <c r="F45">
        <v>128</v>
      </c>
      <c r="H45">
        <f t="shared" si="1"/>
        <v>128</v>
      </c>
      <c r="I45">
        <f t="shared" si="2"/>
        <v>128</v>
      </c>
      <c r="J45">
        <f t="shared" si="3"/>
        <v>128</v>
      </c>
      <c r="K45">
        <f t="shared" si="4"/>
        <v>128</v>
      </c>
      <c r="L45">
        <f t="shared" si="5"/>
        <v>128</v>
      </c>
      <c r="M45">
        <f t="shared" si="6"/>
        <v>128</v>
      </c>
      <c r="N45">
        <f t="shared" si="7"/>
        <v>0</v>
      </c>
    </row>
    <row r="46" spans="1:14" x14ac:dyDescent="0.45">
      <c r="A46" s="1">
        <v>130.90909090909091</v>
      </c>
      <c r="B46" s="1">
        <v>130.90909090909091</v>
      </c>
      <c r="C46" s="1">
        <v>130.90909090909091</v>
      </c>
      <c r="D46" s="1">
        <v>130.90909090909091</v>
      </c>
      <c r="E46" s="1">
        <v>130.90909090909091</v>
      </c>
      <c r="F46">
        <v>130.90909090909091</v>
      </c>
      <c r="H46">
        <f t="shared" si="1"/>
        <v>131</v>
      </c>
      <c r="I46">
        <f t="shared" si="2"/>
        <v>131</v>
      </c>
      <c r="J46">
        <f t="shared" si="3"/>
        <v>131</v>
      </c>
      <c r="K46">
        <f t="shared" si="4"/>
        <v>131</v>
      </c>
      <c r="L46">
        <f t="shared" si="5"/>
        <v>131</v>
      </c>
      <c r="M46">
        <f t="shared" si="6"/>
        <v>131</v>
      </c>
      <c r="N46">
        <f t="shared" si="7"/>
        <v>0</v>
      </c>
    </row>
    <row r="47" spans="1:14" x14ac:dyDescent="0.45">
      <c r="A47" s="1">
        <v>133.81818181818181</v>
      </c>
      <c r="B47" s="1">
        <v>133.81818181818181</v>
      </c>
      <c r="C47" s="1">
        <v>133.81818181818181</v>
      </c>
      <c r="D47" s="1">
        <v>133.81818181818181</v>
      </c>
      <c r="E47" s="1">
        <v>133.81818181818181</v>
      </c>
      <c r="F47">
        <v>133.81818181818181</v>
      </c>
      <c r="H47">
        <f t="shared" si="1"/>
        <v>134</v>
      </c>
      <c r="I47">
        <f t="shared" si="2"/>
        <v>134</v>
      </c>
      <c r="J47">
        <f t="shared" si="3"/>
        <v>134</v>
      </c>
      <c r="K47">
        <f t="shared" si="4"/>
        <v>134</v>
      </c>
      <c r="L47">
        <f t="shared" si="5"/>
        <v>134</v>
      </c>
      <c r="M47">
        <f t="shared" si="6"/>
        <v>134</v>
      </c>
      <c r="N47">
        <f t="shared" si="7"/>
        <v>0</v>
      </c>
    </row>
    <row r="48" spans="1:14" x14ac:dyDescent="0.45">
      <c r="A48" s="1">
        <v>136.72727272727272</v>
      </c>
      <c r="B48" s="1">
        <v>136.72727272727272</v>
      </c>
      <c r="C48" s="1">
        <v>136.72727272727272</v>
      </c>
      <c r="D48" s="1">
        <v>136.72727272727272</v>
      </c>
      <c r="E48" s="1">
        <v>136.72727272727272</v>
      </c>
      <c r="F48">
        <v>136.72727272727272</v>
      </c>
      <c r="H48">
        <f t="shared" si="1"/>
        <v>137</v>
      </c>
      <c r="I48">
        <f t="shared" si="2"/>
        <v>137</v>
      </c>
      <c r="J48">
        <f t="shared" si="3"/>
        <v>137</v>
      </c>
      <c r="K48">
        <f t="shared" si="4"/>
        <v>137</v>
      </c>
      <c r="L48">
        <f t="shared" si="5"/>
        <v>137</v>
      </c>
      <c r="M48">
        <f t="shared" si="6"/>
        <v>137</v>
      </c>
      <c r="N48">
        <f t="shared" si="7"/>
        <v>0</v>
      </c>
    </row>
    <row r="49" spans="1:14" x14ac:dyDescent="0.45">
      <c r="A49" s="1">
        <v>139.63636363636363</v>
      </c>
      <c r="B49" s="1">
        <v>139.63636363636363</v>
      </c>
      <c r="C49" s="1">
        <v>139.63636363636363</v>
      </c>
      <c r="D49" s="1">
        <v>139.63636363636363</v>
      </c>
      <c r="E49" s="1">
        <v>139.63636363636363</v>
      </c>
      <c r="F49">
        <v>139.63636363636363</v>
      </c>
      <c r="H49">
        <f t="shared" si="1"/>
        <v>140</v>
      </c>
      <c r="I49">
        <f t="shared" si="2"/>
        <v>140</v>
      </c>
      <c r="J49">
        <f t="shared" si="3"/>
        <v>140</v>
      </c>
      <c r="K49">
        <f t="shared" si="4"/>
        <v>140</v>
      </c>
      <c r="L49">
        <f t="shared" si="5"/>
        <v>140</v>
      </c>
      <c r="M49">
        <f t="shared" si="6"/>
        <v>140</v>
      </c>
      <c r="N49">
        <f t="shared" si="7"/>
        <v>0</v>
      </c>
    </row>
    <row r="50" spans="1:14" x14ac:dyDescent="0.45">
      <c r="A50" s="1">
        <v>142.54545454545453</v>
      </c>
      <c r="B50" s="1">
        <v>142.54545454545453</v>
      </c>
      <c r="C50" s="1">
        <v>142.54545454545453</v>
      </c>
      <c r="D50" s="1">
        <v>142.54545454545453</v>
      </c>
      <c r="E50" s="1">
        <v>142.54545454545453</v>
      </c>
      <c r="F50">
        <v>142.54545454545453</v>
      </c>
      <c r="H50">
        <f t="shared" si="1"/>
        <v>143</v>
      </c>
      <c r="I50">
        <f t="shared" si="2"/>
        <v>143</v>
      </c>
      <c r="J50">
        <f t="shared" si="3"/>
        <v>143</v>
      </c>
      <c r="K50">
        <f t="shared" si="4"/>
        <v>143</v>
      </c>
      <c r="L50">
        <f t="shared" si="5"/>
        <v>143</v>
      </c>
      <c r="M50">
        <f t="shared" si="6"/>
        <v>143</v>
      </c>
      <c r="N50">
        <f t="shared" si="7"/>
        <v>0</v>
      </c>
    </row>
    <row r="51" spans="1:14" x14ac:dyDescent="0.45">
      <c r="A51" s="1">
        <v>145.45454545454547</v>
      </c>
      <c r="B51" s="1">
        <v>145.45454545454547</v>
      </c>
      <c r="C51" s="1">
        <v>145.45454545454547</v>
      </c>
      <c r="D51" s="1">
        <v>145.45454545454547</v>
      </c>
      <c r="E51" s="1">
        <v>145.45454545454547</v>
      </c>
      <c r="F51">
        <v>145.45454545454547</v>
      </c>
      <c r="H51">
        <f t="shared" si="1"/>
        <v>145</v>
      </c>
      <c r="I51">
        <f t="shared" si="2"/>
        <v>145</v>
      </c>
      <c r="J51">
        <f t="shared" si="3"/>
        <v>145</v>
      </c>
      <c r="K51">
        <f t="shared" si="4"/>
        <v>145</v>
      </c>
      <c r="L51">
        <f t="shared" si="5"/>
        <v>145</v>
      </c>
      <c r="M51">
        <f t="shared" si="6"/>
        <v>145</v>
      </c>
      <c r="N51">
        <f t="shared" si="7"/>
        <v>0</v>
      </c>
    </row>
    <row r="52" spans="1:14" x14ac:dyDescent="0.45">
      <c r="A52" s="1">
        <v>148.36363636363637</v>
      </c>
      <c r="B52" s="1">
        <v>148.36363636363637</v>
      </c>
      <c r="C52" s="1">
        <v>148.36363636363637</v>
      </c>
      <c r="D52" s="1">
        <v>148.36363636363637</v>
      </c>
      <c r="E52" s="1">
        <v>148.36363636363637</v>
      </c>
      <c r="F52">
        <v>148.36363636363637</v>
      </c>
      <c r="H52">
        <f t="shared" si="1"/>
        <v>148</v>
      </c>
      <c r="I52">
        <f t="shared" si="2"/>
        <v>148</v>
      </c>
      <c r="J52">
        <f t="shared" si="3"/>
        <v>148</v>
      </c>
      <c r="K52">
        <f t="shared" si="4"/>
        <v>148</v>
      </c>
      <c r="L52">
        <f t="shared" si="5"/>
        <v>148</v>
      </c>
      <c r="M52">
        <f t="shared" si="6"/>
        <v>148</v>
      </c>
      <c r="N52">
        <f t="shared" si="7"/>
        <v>0</v>
      </c>
    </row>
    <row r="53" spans="1:14" x14ac:dyDescent="0.45">
      <c r="A53" s="1">
        <v>151.27272727272728</v>
      </c>
      <c r="B53" s="1">
        <v>151.27272727272728</v>
      </c>
      <c r="C53" s="1">
        <v>151.27272727272728</v>
      </c>
      <c r="D53" s="1">
        <v>151.27272727272728</v>
      </c>
      <c r="E53" s="1">
        <v>151.27272727272728</v>
      </c>
      <c r="F53">
        <v>151.27272727272728</v>
      </c>
      <c r="H53">
        <f t="shared" si="1"/>
        <v>151</v>
      </c>
      <c r="I53">
        <f t="shared" si="2"/>
        <v>151</v>
      </c>
      <c r="J53">
        <f t="shared" si="3"/>
        <v>151</v>
      </c>
      <c r="K53">
        <f t="shared" si="4"/>
        <v>151</v>
      </c>
      <c r="L53">
        <f t="shared" si="5"/>
        <v>151</v>
      </c>
      <c r="M53">
        <f t="shared" si="6"/>
        <v>151</v>
      </c>
      <c r="N53">
        <f t="shared" si="7"/>
        <v>0</v>
      </c>
    </row>
    <row r="54" spans="1:14" x14ac:dyDescent="0.45">
      <c r="A54" s="1">
        <v>154.18181818181819</v>
      </c>
      <c r="B54" s="1">
        <v>154.18181818181819</v>
      </c>
      <c r="C54" s="1">
        <v>154.18181818181819</v>
      </c>
      <c r="D54" s="1">
        <v>154.18181818181819</v>
      </c>
      <c r="E54" s="1">
        <v>154.18181818181819</v>
      </c>
      <c r="F54">
        <v>154.18181818181819</v>
      </c>
      <c r="H54">
        <f t="shared" si="1"/>
        <v>154</v>
      </c>
      <c r="I54">
        <f t="shared" si="2"/>
        <v>154</v>
      </c>
      <c r="J54">
        <f t="shared" si="3"/>
        <v>154</v>
      </c>
      <c r="K54">
        <f t="shared" si="4"/>
        <v>154</v>
      </c>
      <c r="L54">
        <f t="shared" si="5"/>
        <v>154</v>
      </c>
      <c r="M54">
        <f t="shared" si="6"/>
        <v>154</v>
      </c>
      <c r="N54">
        <f t="shared" si="7"/>
        <v>0</v>
      </c>
    </row>
    <row r="55" spans="1:14" x14ac:dyDescent="0.45">
      <c r="A55" s="1">
        <v>157.09090909090909</v>
      </c>
      <c r="B55" s="1">
        <v>157.09090909090909</v>
      </c>
      <c r="C55" s="1">
        <v>157.09090909090909</v>
      </c>
      <c r="D55" s="1">
        <v>157.09090909090909</v>
      </c>
      <c r="E55" s="1">
        <v>157.09090909090909</v>
      </c>
      <c r="F55">
        <v>157.09090909090909</v>
      </c>
      <c r="H55">
        <f t="shared" si="1"/>
        <v>157</v>
      </c>
      <c r="I55">
        <f t="shared" si="2"/>
        <v>157</v>
      </c>
      <c r="J55">
        <f t="shared" si="3"/>
        <v>157</v>
      </c>
      <c r="K55">
        <f t="shared" si="4"/>
        <v>157</v>
      </c>
      <c r="L55">
        <f t="shared" si="5"/>
        <v>157</v>
      </c>
      <c r="M55">
        <f t="shared" si="6"/>
        <v>157</v>
      </c>
      <c r="N55">
        <f t="shared" si="7"/>
        <v>0</v>
      </c>
    </row>
    <row r="56" spans="1:14" x14ac:dyDescent="0.45">
      <c r="A56" s="1">
        <v>160</v>
      </c>
      <c r="B56" s="1">
        <v>160</v>
      </c>
      <c r="C56" s="1">
        <v>160</v>
      </c>
      <c r="D56" s="1">
        <v>160</v>
      </c>
      <c r="E56" s="1">
        <v>160</v>
      </c>
      <c r="F56">
        <v>160</v>
      </c>
      <c r="H56">
        <f t="shared" si="1"/>
        <v>160</v>
      </c>
      <c r="I56">
        <f t="shared" si="2"/>
        <v>160</v>
      </c>
      <c r="J56">
        <f t="shared" si="3"/>
        <v>160</v>
      </c>
      <c r="K56">
        <f t="shared" si="4"/>
        <v>160</v>
      </c>
      <c r="L56">
        <f t="shared" si="5"/>
        <v>160</v>
      </c>
      <c r="M56">
        <f t="shared" si="6"/>
        <v>160</v>
      </c>
      <c r="N56">
        <f t="shared" si="7"/>
        <v>0</v>
      </c>
    </row>
    <row r="57" spans="1:14" x14ac:dyDescent="0.45">
      <c r="A57" s="1">
        <v>162.90909090909093</v>
      </c>
      <c r="B57" s="1">
        <v>162.90909090909093</v>
      </c>
      <c r="C57" s="1">
        <v>162.90909090909093</v>
      </c>
      <c r="D57" s="1">
        <v>162.90909090909093</v>
      </c>
      <c r="E57" s="1">
        <v>162.90909090909093</v>
      </c>
      <c r="F57">
        <v>162.90909090909093</v>
      </c>
      <c r="H57">
        <f t="shared" si="1"/>
        <v>163</v>
      </c>
      <c r="I57">
        <f t="shared" si="2"/>
        <v>163</v>
      </c>
      <c r="J57">
        <f t="shared" si="3"/>
        <v>163</v>
      </c>
      <c r="K57">
        <f t="shared" si="4"/>
        <v>163</v>
      </c>
      <c r="L57">
        <f t="shared" si="5"/>
        <v>163</v>
      </c>
      <c r="M57">
        <f t="shared" si="6"/>
        <v>163</v>
      </c>
      <c r="N57">
        <f t="shared" si="7"/>
        <v>0</v>
      </c>
    </row>
    <row r="58" spans="1:14" x14ac:dyDescent="0.45">
      <c r="A58" s="1">
        <v>165.81818181818181</v>
      </c>
      <c r="B58" s="1">
        <v>165.81818181818181</v>
      </c>
      <c r="C58" s="1">
        <v>165.81818181818181</v>
      </c>
      <c r="D58" s="1">
        <v>165.81818181818181</v>
      </c>
      <c r="E58" s="1">
        <v>165.81818181818181</v>
      </c>
      <c r="F58">
        <v>165.81818181818181</v>
      </c>
      <c r="H58">
        <f t="shared" si="1"/>
        <v>166</v>
      </c>
      <c r="I58">
        <f t="shared" si="2"/>
        <v>166</v>
      </c>
      <c r="J58">
        <f t="shared" si="3"/>
        <v>166</v>
      </c>
      <c r="K58">
        <f t="shared" si="4"/>
        <v>166</v>
      </c>
      <c r="L58">
        <f t="shared" si="5"/>
        <v>166</v>
      </c>
      <c r="M58">
        <f t="shared" si="6"/>
        <v>166</v>
      </c>
      <c r="N58">
        <f t="shared" si="7"/>
        <v>0</v>
      </c>
    </row>
    <row r="59" spans="1:14" x14ac:dyDescent="0.45">
      <c r="A59" s="1">
        <v>168.72727272727272</v>
      </c>
      <c r="B59" s="1">
        <v>168.72727272727272</v>
      </c>
      <c r="C59" s="1">
        <v>168.72727272727272</v>
      </c>
      <c r="D59" s="1">
        <v>168.72727272727272</v>
      </c>
      <c r="E59" s="1">
        <v>168.72727272727272</v>
      </c>
      <c r="F59">
        <v>168.72727272727272</v>
      </c>
      <c r="H59">
        <f t="shared" si="1"/>
        <v>169</v>
      </c>
      <c r="I59">
        <f t="shared" si="2"/>
        <v>169</v>
      </c>
      <c r="J59">
        <f t="shared" si="3"/>
        <v>169</v>
      </c>
      <c r="K59">
        <f t="shared" si="4"/>
        <v>169</v>
      </c>
      <c r="L59">
        <f t="shared" si="5"/>
        <v>169</v>
      </c>
      <c r="M59">
        <f t="shared" si="6"/>
        <v>169</v>
      </c>
      <c r="N59">
        <f t="shared" si="7"/>
        <v>0</v>
      </c>
    </row>
    <row r="60" spans="1:14" x14ac:dyDescent="0.45">
      <c r="A60" s="1">
        <v>171.63636363636363</v>
      </c>
      <c r="B60" s="1">
        <v>171.63636363636363</v>
      </c>
      <c r="C60" s="1">
        <v>171.63636363636363</v>
      </c>
      <c r="D60" s="1">
        <v>171.63636363636363</v>
      </c>
      <c r="E60" s="1">
        <v>171.63636363636363</v>
      </c>
      <c r="F60" s="4">
        <v>171.63636363636363</v>
      </c>
      <c r="H60">
        <f t="shared" si="1"/>
        <v>172</v>
      </c>
      <c r="I60">
        <f t="shared" si="2"/>
        <v>172</v>
      </c>
      <c r="J60">
        <f t="shared" si="3"/>
        <v>172</v>
      </c>
      <c r="K60">
        <f t="shared" si="4"/>
        <v>172</v>
      </c>
      <c r="L60">
        <f t="shared" si="5"/>
        <v>172</v>
      </c>
      <c r="M60">
        <f t="shared" si="6"/>
        <v>172</v>
      </c>
      <c r="N60">
        <f t="shared" si="7"/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AD7C2-B213-4417-8081-2CE120138712}">
  <dimension ref="A2:Q63"/>
  <sheetViews>
    <sheetView topLeftCell="A9" workbookViewId="0">
      <selection activeCell="G46" sqref="G46"/>
    </sheetView>
  </sheetViews>
  <sheetFormatPr defaultRowHeight="17" x14ac:dyDescent="0.45"/>
  <cols>
    <col min="1" max="2" width="10.58203125" customWidth="1"/>
    <col min="3" max="3" width="13.83203125" bestFit="1" customWidth="1"/>
    <col min="5" max="5" width="11.75" bestFit="1" customWidth="1"/>
    <col min="8" max="9" width="11.75" bestFit="1" customWidth="1"/>
  </cols>
  <sheetData>
    <row r="2" spans="1:17" x14ac:dyDescent="0.45">
      <c r="B2" s="7"/>
    </row>
    <row r="3" spans="1:17" ht="17.5" x14ac:dyDescent="0.45">
      <c r="A3" s="3" t="s">
        <v>0</v>
      </c>
      <c r="B3" s="3" t="s">
        <v>12</v>
      </c>
      <c r="C3" s="3" t="s">
        <v>13</v>
      </c>
    </row>
    <row r="4" spans="1:17" x14ac:dyDescent="0.45">
      <c r="A4" s="6">
        <v>0</v>
      </c>
      <c r="B4" s="12">
        <v>1</v>
      </c>
      <c r="C4" s="14">
        <v>1</v>
      </c>
      <c r="D4">
        <f>B4*20</f>
        <v>20</v>
      </c>
      <c r="E4" s="14">
        <f>C4*20</f>
        <v>20</v>
      </c>
      <c r="H4" s="13">
        <f>(D4*2.4)/4096</f>
        <v>1.171875E-2</v>
      </c>
      <c r="I4" s="13">
        <f>(E4*3.3)/4096</f>
        <v>1.611328125E-2</v>
      </c>
      <c r="M4" s="24" t="s">
        <v>15</v>
      </c>
      <c r="N4" s="26" t="s">
        <v>12</v>
      </c>
      <c r="O4" s="27"/>
      <c r="P4" s="26" t="s">
        <v>13</v>
      </c>
      <c r="Q4" s="27"/>
    </row>
    <row r="5" spans="1:17" x14ac:dyDescent="0.45">
      <c r="A5" s="6">
        <v>0.2</v>
      </c>
      <c r="B5" s="12">
        <v>4</v>
      </c>
      <c r="C5" s="14">
        <v>3</v>
      </c>
      <c r="D5">
        <f t="shared" ref="D5:E38" si="0">B5*20</f>
        <v>80</v>
      </c>
      <c r="E5" s="14">
        <f>C5*20</f>
        <v>60</v>
      </c>
      <c r="H5" s="13">
        <f t="shared" ref="H5:H63" si="1">(D5*2.4)/4096</f>
        <v>4.6875E-2</v>
      </c>
      <c r="I5" s="13">
        <f t="shared" ref="I5:I63" si="2">(E5*3.3)/4096</f>
        <v>4.833984375E-2</v>
      </c>
      <c r="M5" s="25"/>
      <c r="N5" s="15" t="s">
        <v>16</v>
      </c>
      <c r="O5" s="16" t="s">
        <v>17</v>
      </c>
      <c r="P5" s="15" t="s">
        <v>16</v>
      </c>
      <c r="Q5" s="16" t="s">
        <v>17</v>
      </c>
    </row>
    <row r="6" spans="1:17" x14ac:dyDescent="0.45">
      <c r="A6" s="6">
        <v>0.4</v>
      </c>
      <c r="B6" s="12">
        <v>8</v>
      </c>
      <c r="C6" s="14">
        <v>6</v>
      </c>
      <c r="D6">
        <f t="shared" si="0"/>
        <v>160</v>
      </c>
      <c r="E6" s="14">
        <f t="shared" si="0"/>
        <v>120</v>
      </c>
      <c r="H6" s="13">
        <f t="shared" si="1"/>
        <v>9.375E-2</v>
      </c>
      <c r="I6" s="13">
        <f t="shared" si="2"/>
        <v>9.66796875E-2</v>
      </c>
      <c r="M6" s="17">
        <v>0.2</v>
      </c>
      <c r="N6" s="18">
        <v>-0.11</v>
      </c>
      <c r="O6" s="19">
        <f>10^(-2*(N6+1))</f>
        <v>1.6595869074375592E-2</v>
      </c>
      <c r="P6" s="18">
        <v>-0.24</v>
      </c>
      <c r="Q6" s="19">
        <f>10^(-2*(P6+1))</f>
        <v>3.0199517204020147E-2</v>
      </c>
    </row>
    <row r="7" spans="1:17" x14ac:dyDescent="0.45">
      <c r="A7" s="6">
        <v>0.6</v>
      </c>
      <c r="B7" s="12">
        <v>12</v>
      </c>
      <c r="C7" s="14">
        <v>9</v>
      </c>
      <c r="D7">
        <f t="shared" si="0"/>
        <v>240</v>
      </c>
      <c r="E7" s="14">
        <f t="shared" si="0"/>
        <v>180</v>
      </c>
      <c r="H7" s="13">
        <f t="shared" si="1"/>
        <v>0.140625</v>
      </c>
      <c r="I7" s="13">
        <f t="shared" si="2"/>
        <v>0.14501953125</v>
      </c>
      <c r="M7" s="17">
        <v>0.4</v>
      </c>
      <c r="N7" s="1">
        <v>-0.16</v>
      </c>
      <c r="O7" s="20">
        <f>10^(-2*(N7+1))</f>
        <v>2.0892961308540386E-2</v>
      </c>
      <c r="P7" s="1">
        <v>-0.28999999999999998</v>
      </c>
      <c r="Q7" s="20">
        <f>10^(-2*(P7+1))</f>
        <v>3.801893963205611E-2</v>
      </c>
    </row>
    <row r="8" spans="1:17" x14ac:dyDescent="0.45">
      <c r="A8" s="6">
        <v>0.8</v>
      </c>
      <c r="B8" s="12">
        <v>16</v>
      </c>
      <c r="C8" s="14">
        <v>12</v>
      </c>
      <c r="D8">
        <f t="shared" si="0"/>
        <v>320</v>
      </c>
      <c r="E8" s="14">
        <f t="shared" si="0"/>
        <v>240</v>
      </c>
      <c r="H8" s="13">
        <f t="shared" si="1"/>
        <v>0.1875</v>
      </c>
      <c r="I8" s="13">
        <f t="shared" si="2"/>
        <v>0.193359375</v>
      </c>
      <c r="M8" s="17">
        <v>0.6</v>
      </c>
      <c r="N8" s="1">
        <v>-0.19</v>
      </c>
      <c r="O8" s="20">
        <f t="shared" ref="O8:Q30" si="3">10^(-2*(N8+1))</f>
        <v>2.3988329190194894E-2</v>
      </c>
      <c r="P8" s="1">
        <v>-0.34</v>
      </c>
      <c r="Q8" s="20">
        <f t="shared" si="3"/>
        <v>4.7863009232263838E-2</v>
      </c>
    </row>
    <row r="9" spans="1:17" x14ac:dyDescent="0.45">
      <c r="A9" s="6">
        <v>1</v>
      </c>
      <c r="B9" s="12">
        <v>20</v>
      </c>
      <c r="C9" s="14">
        <v>15</v>
      </c>
      <c r="D9">
        <f t="shared" si="0"/>
        <v>400</v>
      </c>
      <c r="E9" s="14">
        <f t="shared" si="0"/>
        <v>300</v>
      </c>
      <c r="H9" s="13">
        <f t="shared" si="1"/>
        <v>0.234375</v>
      </c>
      <c r="I9" s="13">
        <f t="shared" si="2"/>
        <v>0.24169921875</v>
      </c>
      <c r="M9" s="17">
        <v>0.8</v>
      </c>
      <c r="N9" s="1">
        <v>-0.25</v>
      </c>
      <c r="O9" s="20">
        <f t="shared" si="3"/>
        <v>3.1622776601683784E-2</v>
      </c>
      <c r="P9" s="1">
        <v>-0.37</v>
      </c>
      <c r="Q9" s="20">
        <f t="shared" si="3"/>
        <v>5.4954087385762435E-2</v>
      </c>
    </row>
    <row r="10" spans="1:17" x14ac:dyDescent="0.45">
      <c r="A10" s="6">
        <v>1.2</v>
      </c>
      <c r="B10" s="12">
        <v>24</v>
      </c>
      <c r="C10" s="14">
        <v>17</v>
      </c>
      <c r="D10">
        <f t="shared" si="0"/>
        <v>480</v>
      </c>
      <c r="E10" s="14">
        <f t="shared" si="0"/>
        <v>340</v>
      </c>
      <c r="H10" s="13">
        <f t="shared" si="1"/>
        <v>0.28125</v>
      </c>
      <c r="I10" s="13">
        <f t="shared" si="2"/>
        <v>0.27392578125</v>
      </c>
      <c r="M10" s="17">
        <v>1</v>
      </c>
      <c r="N10" s="1">
        <v>-0.3</v>
      </c>
      <c r="O10" s="20">
        <f t="shared" si="3"/>
        <v>3.9810717055349727E-2</v>
      </c>
      <c r="P10" s="1">
        <v>-0.44</v>
      </c>
      <c r="Q10" s="20">
        <f t="shared" si="3"/>
        <v>7.5857757502918358E-2</v>
      </c>
    </row>
    <row r="11" spans="1:17" x14ac:dyDescent="0.45">
      <c r="A11" s="6">
        <v>1.4</v>
      </c>
      <c r="B11" s="12">
        <v>28</v>
      </c>
      <c r="C11" s="14">
        <v>20</v>
      </c>
      <c r="D11">
        <f t="shared" si="0"/>
        <v>560</v>
      </c>
      <c r="E11" s="14">
        <f t="shared" si="0"/>
        <v>400</v>
      </c>
      <c r="H11" s="13">
        <f t="shared" si="1"/>
        <v>0.328125</v>
      </c>
      <c r="I11" s="13">
        <f t="shared" si="2"/>
        <v>0.322265625</v>
      </c>
      <c r="M11" s="17">
        <v>1.2</v>
      </c>
      <c r="N11" s="1">
        <v>-0.34</v>
      </c>
      <c r="O11" s="20">
        <f t="shared" si="3"/>
        <v>4.7863009232263838E-2</v>
      </c>
      <c r="P11" s="1">
        <v>-0.47</v>
      </c>
      <c r="Q11" s="20">
        <f t="shared" si="3"/>
        <v>8.7096358995608011E-2</v>
      </c>
    </row>
    <row r="12" spans="1:17" x14ac:dyDescent="0.45">
      <c r="A12" s="6">
        <v>1.6</v>
      </c>
      <c r="B12" s="12">
        <v>32</v>
      </c>
      <c r="C12" s="14">
        <v>23</v>
      </c>
      <c r="D12">
        <f t="shared" si="0"/>
        <v>640</v>
      </c>
      <c r="E12" s="14">
        <f t="shared" si="0"/>
        <v>460</v>
      </c>
      <c r="H12" s="13">
        <f t="shared" si="1"/>
        <v>0.375</v>
      </c>
      <c r="I12" s="13">
        <f t="shared" si="2"/>
        <v>0.37060546875</v>
      </c>
      <c r="M12" s="17">
        <v>1.4</v>
      </c>
      <c r="N12" s="1">
        <v>-0.39</v>
      </c>
      <c r="O12" s="20">
        <f t="shared" si="3"/>
        <v>6.0255958607435746E-2</v>
      </c>
      <c r="P12" s="1">
        <v>-0.52</v>
      </c>
      <c r="Q12" s="20">
        <f t="shared" si="3"/>
        <v>0.10964781961431849</v>
      </c>
    </row>
    <row r="13" spans="1:17" x14ac:dyDescent="0.45">
      <c r="A13" s="6">
        <v>1.8</v>
      </c>
      <c r="B13" s="12">
        <v>36</v>
      </c>
      <c r="C13" s="14">
        <v>26</v>
      </c>
      <c r="D13">
        <f t="shared" si="0"/>
        <v>720</v>
      </c>
      <c r="E13" s="14">
        <f t="shared" si="0"/>
        <v>520</v>
      </c>
      <c r="H13" s="13">
        <f t="shared" si="1"/>
        <v>0.421875</v>
      </c>
      <c r="I13" s="13">
        <f t="shared" si="2"/>
        <v>0.4189453125</v>
      </c>
      <c r="M13" s="17">
        <v>1.6</v>
      </c>
      <c r="N13" s="1">
        <v>-0.43</v>
      </c>
      <c r="O13" s="20">
        <f t="shared" si="3"/>
        <v>7.2443596007498959E-2</v>
      </c>
      <c r="P13" s="1">
        <v>-0.56000000000000005</v>
      </c>
      <c r="Q13" s="20">
        <f t="shared" si="3"/>
        <v>0.1318256738556407</v>
      </c>
    </row>
    <row r="14" spans="1:17" x14ac:dyDescent="0.45">
      <c r="A14" s="6">
        <v>2</v>
      </c>
      <c r="B14" s="12">
        <v>40</v>
      </c>
      <c r="C14" s="14">
        <v>29</v>
      </c>
      <c r="D14">
        <f t="shared" si="0"/>
        <v>800</v>
      </c>
      <c r="E14" s="14">
        <f t="shared" si="0"/>
        <v>580</v>
      </c>
      <c r="H14" s="13">
        <f t="shared" si="1"/>
        <v>0.46875</v>
      </c>
      <c r="I14" s="13">
        <f t="shared" si="2"/>
        <v>0.46728515625</v>
      </c>
      <c r="M14" s="17">
        <v>1.8</v>
      </c>
      <c r="N14" s="1">
        <v>-0.49</v>
      </c>
      <c r="O14" s="20">
        <f t="shared" si="3"/>
        <v>9.5499258602143561E-2</v>
      </c>
      <c r="P14" s="1">
        <v>-0.62</v>
      </c>
      <c r="Q14" s="20">
        <f t="shared" si="3"/>
        <v>0.17378008287493749</v>
      </c>
    </row>
    <row r="15" spans="1:17" x14ac:dyDescent="0.45">
      <c r="A15" s="6">
        <v>2.2000000000000002</v>
      </c>
      <c r="B15" s="12">
        <v>44</v>
      </c>
      <c r="C15" s="14">
        <v>32</v>
      </c>
      <c r="D15">
        <f t="shared" si="0"/>
        <v>880</v>
      </c>
      <c r="E15" s="14">
        <f t="shared" si="0"/>
        <v>640</v>
      </c>
      <c r="H15" s="13">
        <f t="shared" si="1"/>
        <v>0.515625</v>
      </c>
      <c r="I15" s="13">
        <f t="shared" si="2"/>
        <v>0.515625</v>
      </c>
      <c r="M15" s="17">
        <v>2</v>
      </c>
      <c r="N15" s="1">
        <v>-0.53</v>
      </c>
      <c r="O15" s="20">
        <f t="shared" si="3"/>
        <v>0.11481536214968829</v>
      </c>
      <c r="P15" s="1">
        <v>-0.68</v>
      </c>
      <c r="Q15" s="20">
        <f t="shared" si="3"/>
        <v>0.22908676527677732</v>
      </c>
    </row>
    <row r="16" spans="1:17" x14ac:dyDescent="0.45">
      <c r="A16" s="6">
        <v>2.4</v>
      </c>
      <c r="B16" s="12">
        <v>48</v>
      </c>
      <c r="C16" s="14">
        <v>35</v>
      </c>
      <c r="D16">
        <f t="shared" si="0"/>
        <v>960</v>
      </c>
      <c r="E16" s="14">
        <f t="shared" si="0"/>
        <v>700</v>
      </c>
      <c r="H16" s="13">
        <f t="shared" si="1"/>
        <v>0.5625</v>
      </c>
      <c r="I16" s="13">
        <f t="shared" si="2"/>
        <v>0.56396484375</v>
      </c>
      <c r="M16" s="17">
        <v>2.2000000000000002</v>
      </c>
      <c r="N16" s="1">
        <v>-0.57999999999999996</v>
      </c>
      <c r="O16" s="20">
        <f t="shared" si="3"/>
        <v>0.14454397707459268</v>
      </c>
      <c r="P16" s="1">
        <v>-0.72</v>
      </c>
      <c r="Q16" s="20">
        <f t="shared" si="3"/>
        <v>0.27542287033381663</v>
      </c>
    </row>
    <row r="17" spans="1:17" x14ac:dyDescent="0.45">
      <c r="A17" s="6">
        <v>2.6</v>
      </c>
      <c r="B17" s="12">
        <v>52</v>
      </c>
      <c r="C17" s="14">
        <v>48</v>
      </c>
      <c r="D17">
        <f t="shared" si="0"/>
        <v>1040</v>
      </c>
      <c r="E17" s="14">
        <f t="shared" si="0"/>
        <v>960</v>
      </c>
      <c r="H17" s="13">
        <f t="shared" si="1"/>
        <v>0.609375</v>
      </c>
      <c r="I17" s="13">
        <f t="shared" si="2"/>
        <v>0.7734375</v>
      </c>
      <c r="M17" s="17">
        <v>2.4</v>
      </c>
      <c r="N17" s="1">
        <v>-0.63</v>
      </c>
      <c r="O17" s="20">
        <f t="shared" si="3"/>
        <v>0.18197008586099833</v>
      </c>
      <c r="P17" s="1">
        <v>-0.79</v>
      </c>
      <c r="Q17" s="20">
        <f t="shared" si="3"/>
        <v>0.3801893963205612</v>
      </c>
    </row>
    <row r="18" spans="1:17" x14ac:dyDescent="0.45">
      <c r="A18" s="6">
        <v>2.8</v>
      </c>
      <c r="B18" s="12">
        <v>56</v>
      </c>
      <c r="C18" s="14">
        <v>41</v>
      </c>
      <c r="D18">
        <f t="shared" si="0"/>
        <v>1120</v>
      </c>
      <c r="E18" s="14">
        <f t="shared" si="0"/>
        <v>820</v>
      </c>
      <c r="H18" s="13">
        <f t="shared" si="1"/>
        <v>0.65625</v>
      </c>
      <c r="I18" s="13">
        <f t="shared" si="2"/>
        <v>0.66064453125</v>
      </c>
      <c r="M18" s="17">
        <v>2.6</v>
      </c>
      <c r="N18" s="1">
        <v>-0.67</v>
      </c>
      <c r="O18" s="20">
        <f t="shared" si="3"/>
        <v>0.21877616239495529</v>
      </c>
      <c r="P18" s="1">
        <v>-0.83</v>
      </c>
      <c r="Q18" s="20">
        <f t="shared" si="3"/>
        <v>0.45708818961487485</v>
      </c>
    </row>
    <row r="19" spans="1:17" x14ac:dyDescent="0.45">
      <c r="A19" s="6">
        <v>3</v>
      </c>
      <c r="B19" s="12">
        <v>60</v>
      </c>
      <c r="C19" s="14">
        <v>44</v>
      </c>
      <c r="D19">
        <f t="shared" si="0"/>
        <v>1200</v>
      </c>
      <c r="E19" s="14">
        <f t="shared" si="0"/>
        <v>880</v>
      </c>
      <c r="H19" s="13">
        <f t="shared" si="1"/>
        <v>0.703125</v>
      </c>
      <c r="I19" s="13">
        <f t="shared" si="2"/>
        <v>0.708984375</v>
      </c>
      <c r="M19" s="17">
        <v>2.8</v>
      </c>
      <c r="N19" s="1">
        <v>-0.74</v>
      </c>
      <c r="O19" s="20">
        <f t="shared" si="3"/>
        <v>0.30199517204020154</v>
      </c>
      <c r="P19" s="1">
        <v>-0.89</v>
      </c>
      <c r="Q19" s="20">
        <f t="shared" si="3"/>
        <v>0.60255958607435778</v>
      </c>
    </row>
    <row r="20" spans="1:17" x14ac:dyDescent="0.45">
      <c r="A20" s="6">
        <v>3.2</v>
      </c>
      <c r="B20" s="12">
        <v>64</v>
      </c>
      <c r="C20" s="14">
        <v>47</v>
      </c>
      <c r="D20">
        <f t="shared" si="0"/>
        <v>1280</v>
      </c>
      <c r="E20" s="14">
        <f t="shared" si="0"/>
        <v>940</v>
      </c>
      <c r="H20" s="13">
        <f t="shared" si="1"/>
        <v>0.75</v>
      </c>
      <c r="I20" s="13">
        <f t="shared" si="2"/>
        <v>0.75732421875</v>
      </c>
      <c r="M20" s="17">
        <v>3</v>
      </c>
      <c r="N20" s="1">
        <v>-0.76</v>
      </c>
      <c r="O20" s="20">
        <f t="shared" si="3"/>
        <v>0.33113112148259105</v>
      </c>
      <c r="P20" s="1">
        <v>-0.94</v>
      </c>
      <c r="Q20" s="20">
        <f t="shared" si="3"/>
        <v>0.75857757502918355</v>
      </c>
    </row>
    <row r="21" spans="1:17" x14ac:dyDescent="0.45">
      <c r="A21" s="6">
        <v>3.4</v>
      </c>
      <c r="B21" s="12">
        <v>68</v>
      </c>
      <c r="C21" s="14">
        <v>49</v>
      </c>
      <c r="D21">
        <f t="shared" si="0"/>
        <v>1360</v>
      </c>
      <c r="E21" s="14">
        <f t="shared" si="0"/>
        <v>980</v>
      </c>
      <c r="H21" s="13">
        <f t="shared" si="1"/>
        <v>0.796875</v>
      </c>
      <c r="I21" s="13">
        <f t="shared" si="2"/>
        <v>0.78955078125</v>
      </c>
      <c r="M21" s="17">
        <v>3.2</v>
      </c>
      <c r="N21" s="1">
        <v>-0.82</v>
      </c>
      <c r="O21" s="20">
        <f t="shared" si="3"/>
        <v>0.43651583224016588</v>
      </c>
      <c r="P21" s="1">
        <v>-0.97</v>
      </c>
      <c r="Q21" s="20">
        <f t="shared" si="3"/>
        <v>0.87096358995608059</v>
      </c>
    </row>
    <row r="22" spans="1:17" x14ac:dyDescent="0.45">
      <c r="A22" s="6">
        <v>3.6</v>
      </c>
      <c r="B22" s="12">
        <v>72</v>
      </c>
      <c r="C22" s="14">
        <v>52</v>
      </c>
      <c r="D22">
        <f t="shared" si="0"/>
        <v>1440</v>
      </c>
      <c r="E22" s="14">
        <f t="shared" si="0"/>
        <v>1040</v>
      </c>
      <c r="H22" s="13">
        <f t="shared" si="1"/>
        <v>0.84375</v>
      </c>
      <c r="I22" s="13">
        <f t="shared" si="2"/>
        <v>0.837890625</v>
      </c>
      <c r="M22" s="17">
        <v>3.4</v>
      </c>
      <c r="N22" s="1">
        <v>-0.86</v>
      </c>
      <c r="O22" s="20">
        <f t="shared" si="3"/>
        <v>0.52480746024977254</v>
      </c>
      <c r="P22" s="1">
        <v>-1.01</v>
      </c>
      <c r="Q22" s="20">
        <f t="shared" si="3"/>
        <v>1.0471285480508996</v>
      </c>
    </row>
    <row r="23" spans="1:17" x14ac:dyDescent="0.45">
      <c r="A23" s="6">
        <v>3.8</v>
      </c>
      <c r="B23" s="12">
        <v>76</v>
      </c>
      <c r="C23" s="14">
        <v>55</v>
      </c>
      <c r="D23">
        <f t="shared" si="0"/>
        <v>1520</v>
      </c>
      <c r="E23" s="14">
        <f t="shared" si="0"/>
        <v>1100</v>
      </c>
      <c r="H23" s="13">
        <f t="shared" si="1"/>
        <v>0.890625</v>
      </c>
      <c r="I23" s="13">
        <f t="shared" si="2"/>
        <v>0.88623046875</v>
      </c>
      <c r="M23" s="17">
        <v>3.6</v>
      </c>
      <c r="N23" s="1">
        <v>-0.9</v>
      </c>
      <c r="O23" s="20">
        <f t="shared" si="3"/>
        <v>0.63095734448019325</v>
      </c>
      <c r="P23" s="1">
        <v>-1.05</v>
      </c>
      <c r="Q23" s="20">
        <f t="shared" si="3"/>
        <v>1.2589254117941675</v>
      </c>
    </row>
    <row r="24" spans="1:17" x14ac:dyDescent="0.45">
      <c r="A24" s="6">
        <v>4</v>
      </c>
      <c r="B24" s="12">
        <v>80</v>
      </c>
      <c r="C24" s="14">
        <v>58</v>
      </c>
      <c r="D24">
        <f t="shared" si="0"/>
        <v>1600</v>
      </c>
      <c r="E24" s="14">
        <f t="shared" si="0"/>
        <v>1160</v>
      </c>
      <c r="H24" s="13">
        <f t="shared" si="1"/>
        <v>0.9375</v>
      </c>
      <c r="I24" s="13">
        <f t="shared" si="2"/>
        <v>0.9345703125</v>
      </c>
      <c r="M24" s="17">
        <v>3.8</v>
      </c>
      <c r="N24" s="1">
        <v>-0.96</v>
      </c>
      <c r="O24" s="20">
        <f t="shared" si="3"/>
        <v>0.83176377110267086</v>
      </c>
      <c r="P24" s="1">
        <v>-1.1000000000000001</v>
      </c>
      <c r="Q24" s="20">
        <f t="shared" si="3"/>
        <v>1.5848931924611143</v>
      </c>
    </row>
    <row r="25" spans="1:17" x14ac:dyDescent="0.45">
      <c r="A25" s="6">
        <v>4.2</v>
      </c>
      <c r="B25" s="12">
        <v>84</v>
      </c>
      <c r="C25" s="14">
        <v>61</v>
      </c>
      <c r="D25">
        <f t="shared" si="0"/>
        <v>1680</v>
      </c>
      <c r="E25" s="14">
        <f t="shared" si="0"/>
        <v>1220</v>
      </c>
      <c r="H25" s="13">
        <f t="shared" si="1"/>
        <v>0.984375</v>
      </c>
      <c r="I25" s="13">
        <f t="shared" si="2"/>
        <v>0.98291015625</v>
      </c>
      <c r="M25" s="17">
        <v>4</v>
      </c>
      <c r="N25" s="1">
        <v>-1</v>
      </c>
      <c r="O25" s="20">
        <f t="shared" si="3"/>
        <v>1</v>
      </c>
      <c r="P25" s="1">
        <v>-1.1399999999999999</v>
      </c>
      <c r="Q25" s="20">
        <f t="shared" si="3"/>
        <v>1.9054607179632466</v>
      </c>
    </row>
    <row r="26" spans="1:17" x14ac:dyDescent="0.45">
      <c r="A26" s="6">
        <v>4.4000000000000004</v>
      </c>
      <c r="B26" s="12">
        <v>88</v>
      </c>
      <c r="C26" s="14">
        <v>64</v>
      </c>
      <c r="D26">
        <f t="shared" si="0"/>
        <v>1760</v>
      </c>
      <c r="E26" s="14">
        <f t="shared" si="0"/>
        <v>1280</v>
      </c>
      <c r="H26" s="13">
        <f>(D26*2.4)/4096</f>
        <v>1.03125</v>
      </c>
      <c r="I26" s="13">
        <f t="shared" si="2"/>
        <v>1.03125</v>
      </c>
      <c r="M26" s="17">
        <v>4.2</v>
      </c>
      <c r="N26" s="1">
        <v>-1.05</v>
      </c>
      <c r="O26" s="20">
        <f t="shared" si="3"/>
        <v>1.2589254117941675</v>
      </c>
      <c r="P26" s="1">
        <v>-1.2</v>
      </c>
      <c r="Q26" s="20">
        <f t="shared" si="3"/>
        <v>2.5118864315095797</v>
      </c>
    </row>
    <row r="27" spans="1:17" x14ac:dyDescent="0.45">
      <c r="A27" s="6">
        <v>4.5999999999999996</v>
      </c>
      <c r="B27" s="12">
        <v>92</v>
      </c>
      <c r="C27" s="14">
        <v>67</v>
      </c>
      <c r="D27">
        <f t="shared" si="0"/>
        <v>1840</v>
      </c>
      <c r="E27" s="14">
        <f t="shared" si="0"/>
        <v>1340</v>
      </c>
      <c r="H27" s="13">
        <f>(D27*2.4)/4096</f>
        <v>1.078125</v>
      </c>
      <c r="I27" s="13">
        <f t="shared" si="2"/>
        <v>1.07958984375</v>
      </c>
      <c r="M27" s="17">
        <v>4.4000000000000004</v>
      </c>
      <c r="N27" s="1">
        <v>-1.1100000000000001</v>
      </c>
      <c r="O27" s="20">
        <f t="shared" si="3"/>
        <v>1.6595869074375613</v>
      </c>
      <c r="P27" s="1">
        <v>-1.23</v>
      </c>
      <c r="Q27" s="20">
        <f t="shared" si="3"/>
        <v>2.8840315031266059</v>
      </c>
    </row>
    <row r="28" spans="1:17" x14ac:dyDescent="0.45">
      <c r="A28" s="6">
        <v>4.8</v>
      </c>
      <c r="B28" s="12">
        <v>96</v>
      </c>
      <c r="C28" s="14">
        <v>70</v>
      </c>
      <c r="D28">
        <f t="shared" si="0"/>
        <v>1920</v>
      </c>
      <c r="E28" s="14">
        <f t="shared" si="0"/>
        <v>1400</v>
      </c>
      <c r="H28" s="13">
        <f>(D28*2.4)/4096</f>
        <v>1.125</v>
      </c>
      <c r="I28" s="13">
        <f t="shared" si="2"/>
        <v>1.1279296875</v>
      </c>
      <c r="M28" s="17">
        <v>4.5999999999999996</v>
      </c>
      <c r="N28" s="1">
        <v>-1.1399999999999999</v>
      </c>
      <c r="O28" s="20">
        <f t="shared" si="3"/>
        <v>1.9054607179632466</v>
      </c>
      <c r="P28" s="1">
        <v>-1.3</v>
      </c>
      <c r="Q28" s="20">
        <f t="shared" si="3"/>
        <v>3.9810717055349736</v>
      </c>
    </row>
    <row r="29" spans="1:17" x14ac:dyDescent="0.45">
      <c r="A29" s="6">
        <v>5</v>
      </c>
      <c r="B29" s="12">
        <v>100</v>
      </c>
      <c r="C29" s="14">
        <v>73</v>
      </c>
      <c r="D29">
        <v>2000</v>
      </c>
      <c r="E29" s="14">
        <f t="shared" si="0"/>
        <v>1460</v>
      </c>
      <c r="H29" s="13">
        <f>(D29*2.4)/4096</f>
        <v>1.171875</v>
      </c>
      <c r="I29" s="13">
        <f t="shared" si="2"/>
        <v>1.17626953125</v>
      </c>
      <c r="M29" s="17">
        <v>4.8</v>
      </c>
      <c r="N29" s="1">
        <v>-1.2</v>
      </c>
      <c r="O29" s="20">
        <f t="shared" si="3"/>
        <v>2.5118864315095797</v>
      </c>
      <c r="P29" s="1">
        <v>-1.34</v>
      </c>
      <c r="Q29" s="20">
        <f t="shared" si="3"/>
        <v>4.7863009232263867</v>
      </c>
    </row>
    <row r="30" spans="1:17" x14ac:dyDescent="0.45">
      <c r="A30" s="6">
        <v>5.2</v>
      </c>
      <c r="B30" s="10">
        <v>104</v>
      </c>
      <c r="C30" s="14">
        <v>76</v>
      </c>
      <c r="D30">
        <v>2000</v>
      </c>
      <c r="E30" s="14">
        <f t="shared" si="0"/>
        <v>1520</v>
      </c>
      <c r="H30" s="13">
        <f>(D30*2.4)/4096</f>
        <v>1.171875</v>
      </c>
      <c r="I30" s="13">
        <f t="shared" si="2"/>
        <v>1.224609375</v>
      </c>
      <c r="M30" s="17">
        <v>5</v>
      </c>
      <c r="N30" s="1">
        <v>-1.25</v>
      </c>
      <c r="O30" s="20">
        <f t="shared" si="3"/>
        <v>3.1622776601683795</v>
      </c>
      <c r="P30" s="1">
        <v>-1.38</v>
      </c>
      <c r="Q30" s="20">
        <f t="shared" si="3"/>
        <v>5.7543993733715668</v>
      </c>
    </row>
    <row r="31" spans="1:17" x14ac:dyDescent="0.45">
      <c r="A31" s="6">
        <v>5.4</v>
      </c>
      <c r="B31" s="1">
        <v>108</v>
      </c>
      <c r="C31" s="14">
        <v>79</v>
      </c>
      <c r="D31">
        <v>2000</v>
      </c>
      <c r="E31" s="14">
        <f t="shared" si="0"/>
        <v>1580</v>
      </c>
      <c r="H31" s="13">
        <f t="shared" si="1"/>
        <v>1.171875</v>
      </c>
      <c r="I31" s="13">
        <f t="shared" si="2"/>
        <v>1.27294921875</v>
      </c>
    </row>
    <row r="32" spans="1:17" x14ac:dyDescent="0.45">
      <c r="A32" s="6">
        <v>5.6</v>
      </c>
      <c r="B32" s="1">
        <v>112</v>
      </c>
      <c r="C32" s="14">
        <v>81</v>
      </c>
      <c r="D32">
        <v>2000</v>
      </c>
      <c r="E32" s="14">
        <f t="shared" si="0"/>
        <v>1620</v>
      </c>
      <c r="H32" s="13">
        <f t="shared" si="1"/>
        <v>1.171875</v>
      </c>
      <c r="I32" s="13">
        <f t="shared" si="2"/>
        <v>1.30517578125</v>
      </c>
    </row>
    <row r="33" spans="1:9" x14ac:dyDescent="0.45">
      <c r="A33" s="6">
        <v>5.8</v>
      </c>
      <c r="B33" s="1">
        <v>116</v>
      </c>
      <c r="C33" s="14">
        <v>84</v>
      </c>
      <c r="D33">
        <v>2000</v>
      </c>
      <c r="E33" s="14">
        <f t="shared" si="0"/>
        <v>1680</v>
      </c>
      <c r="H33" s="13">
        <f t="shared" si="1"/>
        <v>1.171875</v>
      </c>
      <c r="I33" s="13">
        <f t="shared" si="2"/>
        <v>1.353515625</v>
      </c>
    </row>
    <row r="34" spans="1:9" x14ac:dyDescent="0.45">
      <c r="A34" s="6">
        <v>6</v>
      </c>
      <c r="B34" s="1">
        <v>120</v>
      </c>
      <c r="C34" s="14">
        <v>87</v>
      </c>
      <c r="D34">
        <v>2000</v>
      </c>
      <c r="E34" s="14">
        <f t="shared" si="0"/>
        <v>1740</v>
      </c>
      <c r="H34" s="13">
        <f t="shared" si="1"/>
        <v>1.171875</v>
      </c>
      <c r="I34" s="13">
        <f t="shared" si="2"/>
        <v>1.40185546875</v>
      </c>
    </row>
    <row r="35" spans="1:9" x14ac:dyDescent="0.45">
      <c r="A35" s="6">
        <v>6.2</v>
      </c>
      <c r="B35" s="1">
        <v>124</v>
      </c>
      <c r="C35" s="14">
        <v>90</v>
      </c>
      <c r="D35">
        <v>2000</v>
      </c>
      <c r="E35" s="14">
        <f t="shared" si="0"/>
        <v>1800</v>
      </c>
      <c r="H35" s="13">
        <f t="shared" si="1"/>
        <v>1.171875</v>
      </c>
      <c r="I35" s="13">
        <f t="shared" si="2"/>
        <v>1.4501953125</v>
      </c>
    </row>
    <row r="36" spans="1:9" x14ac:dyDescent="0.45">
      <c r="A36" s="6">
        <v>6.4</v>
      </c>
      <c r="B36" s="1">
        <v>128</v>
      </c>
      <c r="C36" s="14">
        <v>93</v>
      </c>
      <c r="D36">
        <v>2000</v>
      </c>
      <c r="E36" s="14">
        <f t="shared" si="0"/>
        <v>1860</v>
      </c>
      <c r="H36" s="13">
        <f t="shared" si="1"/>
        <v>1.171875</v>
      </c>
      <c r="I36" s="13">
        <f t="shared" si="2"/>
        <v>1.49853515625</v>
      </c>
    </row>
    <row r="37" spans="1:9" x14ac:dyDescent="0.45">
      <c r="A37" s="6">
        <v>6.6</v>
      </c>
      <c r="B37" s="1">
        <v>132</v>
      </c>
      <c r="C37" s="14">
        <v>96</v>
      </c>
      <c r="D37">
        <v>2000</v>
      </c>
      <c r="E37" s="14">
        <f t="shared" si="0"/>
        <v>1920</v>
      </c>
      <c r="H37" s="13">
        <f t="shared" si="1"/>
        <v>1.171875</v>
      </c>
      <c r="I37" s="13">
        <f t="shared" si="2"/>
        <v>1.546875</v>
      </c>
    </row>
    <row r="38" spans="1:9" x14ac:dyDescent="0.45">
      <c r="A38" s="6">
        <v>6.8</v>
      </c>
      <c r="B38" s="1">
        <v>136</v>
      </c>
      <c r="C38" s="14">
        <v>99</v>
      </c>
      <c r="D38">
        <v>2000</v>
      </c>
      <c r="E38" s="14">
        <f t="shared" si="0"/>
        <v>1980</v>
      </c>
      <c r="H38" s="13">
        <f t="shared" si="1"/>
        <v>1.171875</v>
      </c>
      <c r="I38" s="13">
        <f t="shared" si="2"/>
        <v>1.59521484375</v>
      </c>
    </row>
    <row r="39" spans="1:9" x14ac:dyDescent="0.45">
      <c r="A39" s="6">
        <v>7</v>
      </c>
      <c r="B39" s="1">
        <v>140</v>
      </c>
      <c r="C39" s="14">
        <v>102</v>
      </c>
      <c r="D39">
        <v>2000</v>
      </c>
      <c r="E39" s="14">
        <v>2000</v>
      </c>
      <c r="H39" s="13">
        <f t="shared" si="1"/>
        <v>1.171875</v>
      </c>
      <c r="I39" s="13">
        <f t="shared" si="2"/>
        <v>1.611328125</v>
      </c>
    </row>
    <row r="40" spans="1:9" x14ac:dyDescent="0.45">
      <c r="A40" s="6">
        <v>7.2</v>
      </c>
      <c r="B40" s="1">
        <v>144</v>
      </c>
      <c r="C40" s="14">
        <v>105</v>
      </c>
      <c r="D40">
        <v>2000</v>
      </c>
      <c r="E40" s="14">
        <v>2000</v>
      </c>
      <c r="H40" s="13">
        <f t="shared" si="1"/>
        <v>1.171875</v>
      </c>
      <c r="I40" s="13">
        <f t="shared" si="2"/>
        <v>1.611328125</v>
      </c>
    </row>
    <row r="41" spans="1:9" x14ac:dyDescent="0.45">
      <c r="A41" s="6">
        <v>7.4</v>
      </c>
      <c r="B41" s="1">
        <v>148</v>
      </c>
      <c r="C41" s="14">
        <v>108</v>
      </c>
      <c r="D41">
        <v>2000</v>
      </c>
      <c r="E41" s="14">
        <v>2000</v>
      </c>
      <c r="H41" s="13">
        <f t="shared" si="1"/>
        <v>1.171875</v>
      </c>
      <c r="I41" s="13">
        <f t="shared" si="2"/>
        <v>1.611328125</v>
      </c>
    </row>
    <row r="42" spans="1:9" x14ac:dyDescent="0.45">
      <c r="A42" s="6">
        <v>7.6</v>
      </c>
      <c r="B42" s="1">
        <v>152</v>
      </c>
      <c r="C42" s="14">
        <v>111</v>
      </c>
      <c r="D42">
        <v>2000</v>
      </c>
      <c r="E42" s="14">
        <v>2000</v>
      </c>
      <c r="H42" s="13">
        <f t="shared" si="1"/>
        <v>1.171875</v>
      </c>
      <c r="I42" s="13">
        <f t="shared" si="2"/>
        <v>1.611328125</v>
      </c>
    </row>
    <row r="43" spans="1:9" x14ac:dyDescent="0.45">
      <c r="A43" s="6">
        <v>7.8</v>
      </c>
      <c r="B43" s="1">
        <v>156</v>
      </c>
      <c r="C43" s="14">
        <v>113</v>
      </c>
      <c r="D43">
        <v>2000</v>
      </c>
      <c r="E43" s="14">
        <v>2000</v>
      </c>
      <c r="H43" s="13">
        <f t="shared" si="1"/>
        <v>1.171875</v>
      </c>
      <c r="I43" s="13">
        <f t="shared" si="2"/>
        <v>1.611328125</v>
      </c>
    </row>
    <row r="44" spans="1:9" x14ac:dyDescent="0.45">
      <c r="A44" s="6">
        <v>8</v>
      </c>
      <c r="B44" s="1">
        <v>160</v>
      </c>
      <c r="C44" s="14">
        <v>116</v>
      </c>
      <c r="D44">
        <v>2000</v>
      </c>
      <c r="E44" s="14">
        <v>2000</v>
      </c>
      <c r="H44" s="13">
        <f t="shared" si="1"/>
        <v>1.171875</v>
      </c>
      <c r="I44" s="13">
        <f t="shared" si="2"/>
        <v>1.611328125</v>
      </c>
    </row>
    <row r="45" spans="1:9" x14ac:dyDescent="0.45">
      <c r="A45" s="6">
        <v>8.1999999999999993</v>
      </c>
      <c r="B45" s="1">
        <v>164</v>
      </c>
      <c r="C45" s="14">
        <v>119</v>
      </c>
      <c r="D45">
        <v>2000</v>
      </c>
      <c r="E45" s="14">
        <v>2000</v>
      </c>
      <c r="H45" s="13">
        <f t="shared" si="1"/>
        <v>1.171875</v>
      </c>
      <c r="I45" s="13">
        <f t="shared" si="2"/>
        <v>1.611328125</v>
      </c>
    </row>
    <row r="46" spans="1:9" x14ac:dyDescent="0.45">
      <c r="A46" s="6">
        <v>8.4</v>
      </c>
      <c r="B46" s="1">
        <v>168</v>
      </c>
      <c r="C46" s="14">
        <v>122</v>
      </c>
      <c r="D46">
        <v>2000</v>
      </c>
      <c r="E46" s="14">
        <v>2000</v>
      </c>
      <c r="H46" s="13">
        <f t="shared" si="1"/>
        <v>1.171875</v>
      </c>
      <c r="I46" s="13">
        <f t="shared" si="2"/>
        <v>1.611328125</v>
      </c>
    </row>
    <row r="47" spans="1:9" x14ac:dyDescent="0.45">
      <c r="A47" s="6">
        <v>8.6</v>
      </c>
      <c r="B47" s="1">
        <v>172</v>
      </c>
      <c r="C47" s="14">
        <v>125</v>
      </c>
      <c r="D47">
        <v>2000</v>
      </c>
      <c r="E47" s="14">
        <v>2000</v>
      </c>
      <c r="H47" s="13">
        <f t="shared" si="1"/>
        <v>1.171875</v>
      </c>
      <c r="I47" s="13">
        <f t="shared" si="2"/>
        <v>1.611328125</v>
      </c>
    </row>
    <row r="48" spans="1:9" x14ac:dyDescent="0.45">
      <c r="A48" s="6">
        <v>8.8000000000000007</v>
      </c>
      <c r="B48" s="1">
        <v>176</v>
      </c>
      <c r="C48" s="14">
        <v>128</v>
      </c>
      <c r="D48">
        <v>2000</v>
      </c>
      <c r="E48" s="14">
        <v>2000</v>
      </c>
      <c r="H48" s="13">
        <f t="shared" si="1"/>
        <v>1.171875</v>
      </c>
      <c r="I48" s="13">
        <f t="shared" si="2"/>
        <v>1.611328125</v>
      </c>
    </row>
    <row r="49" spans="1:9" x14ac:dyDescent="0.45">
      <c r="A49" s="6">
        <v>9</v>
      </c>
      <c r="B49" s="1">
        <v>180</v>
      </c>
      <c r="C49" s="14">
        <v>131</v>
      </c>
      <c r="D49">
        <v>2000</v>
      </c>
      <c r="E49" s="14">
        <v>2000</v>
      </c>
      <c r="H49" s="13">
        <f t="shared" si="1"/>
        <v>1.171875</v>
      </c>
      <c r="I49" s="13">
        <f t="shared" si="2"/>
        <v>1.611328125</v>
      </c>
    </row>
    <row r="50" spans="1:9" x14ac:dyDescent="0.45">
      <c r="A50" s="6">
        <v>9.1999999999999993</v>
      </c>
      <c r="B50" s="1">
        <v>184</v>
      </c>
      <c r="C50" s="14">
        <v>134</v>
      </c>
      <c r="D50">
        <v>2000</v>
      </c>
      <c r="E50" s="14">
        <v>2000</v>
      </c>
      <c r="H50" s="13">
        <f t="shared" si="1"/>
        <v>1.171875</v>
      </c>
      <c r="I50" s="13">
        <f t="shared" si="2"/>
        <v>1.611328125</v>
      </c>
    </row>
    <row r="51" spans="1:9" x14ac:dyDescent="0.45">
      <c r="A51" s="6">
        <v>9.4</v>
      </c>
      <c r="B51" s="1">
        <v>188</v>
      </c>
      <c r="C51" s="14">
        <v>137</v>
      </c>
      <c r="D51">
        <v>2000</v>
      </c>
      <c r="E51" s="14">
        <v>2000</v>
      </c>
      <c r="H51" s="13">
        <f t="shared" si="1"/>
        <v>1.171875</v>
      </c>
      <c r="I51" s="13">
        <f t="shared" si="2"/>
        <v>1.611328125</v>
      </c>
    </row>
    <row r="52" spans="1:9" x14ac:dyDescent="0.45">
      <c r="A52" s="6">
        <v>9.6</v>
      </c>
      <c r="B52" s="1">
        <v>192</v>
      </c>
      <c r="C52" s="14">
        <v>140</v>
      </c>
      <c r="D52">
        <v>2000</v>
      </c>
      <c r="E52" s="14">
        <v>2000</v>
      </c>
      <c r="H52" s="13">
        <f t="shared" si="1"/>
        <v>1.171875</v>
      </c>
      <c r="I52" s="13">
        <f t="shared" si="2"/>
        <v>1.611328125</v>
      </c>
    </row>
    <row r="53" spans="1:9" x14ac:dyDescent="0.45">
      <c r="A53" s="6">
        <v>9.8000000000000007</v>
      </c>
      <c r="B53" s="1">
        <v>196</v>
      </c>
      <c r="C53" s="14">
        <v>143</v>
      </c>
      <c r="D53">
        <v>2000</v>
      </c>
      <c r="E53" s="14">
        <v>2000</v>
      </c>
      <c r="H53" s="13">
        <f t="shared" si="1"/>
        <v>1.171875</v>
      </c>
      <c r="I53" s="13">
        <f t="shared" si="2"/>
        <v>1.611328125</v>
      </c>
    </row>
    <row r="54" spans="1:9" x14ac:dyDescent="0.45">
      <c r="A54" s="6">
        <v>10</v>
      </c>
      <c r="B54" s="1">
        <v>200</v>
      </c>
      <c r="C54" s="14">
        <v>145</v>
      </c>
      <c r="D54">
        <v>2000</v>
      </c>
      <c r="E54" s="14">
        <v>2000</v>
      </c>
      <c r="H54" s="13">
        <f t="shared" si="1"/>
        <v>1.171875</v>
      </c>
      <c r="I54" s="13">
        <f t="shared" si="2"/>
        <v>1.611328125</v>
      </c>
    </row>
    <row r="55" spans="1:9" x14ac:dyDescent="0.45">
      <c r="A55" s="6">
        <v>10.199999999999999</v>
      </c>
      <c r="B55" s="1">
        <v>204</v>
      </c>
      <c r="C55" s="14">
        <v>148</v>
      </c>
      <c r="D55">
        <v>2000</v>
      </c>
      <c r="E55" s="14">
        <v>2000</v>
      </c>
      <c r="H55" s="13">
        <f t="shared" si="1"/>
        <v>1.171875</v>
      </c>
      <c r="I55" s="13">
        <f t="shared" si="2"/>
        <v>1.611328125</v>
      </c>
    </row>
    <row r="56" spans="1:9" x14ac:dyDescent="0.45">
      <c r="A56" s="6">
        <v>10.4</v>
      </c>
      <c r="B56" s="1">
        <v>208</v>
      </c>
      <c r="C56" s="14">
        <v>151</v>
      </c>
      <c r="D56">
        <v>2000</v>
      </c>
      <c r="E56" s="14">
        <v>2000</v>
      </c>
      <c r="H56" s="13">
        <f t="shared" si="1"/>
        <v>1.171875</v>
      </c>
      <c r="I56" s="13">
        <f t="shared" si="2"/>
        <v>1.611328125</v>
      </c>
    </row>
    <row r="57" spans="1:9" x14ac:dyDescent="0.45">
      <c r="A57" s="6">
        <v>10.6</v>
      </c>
      <c r="B57" s="1">
        <v>212</v>
      </c>
      <c r="C57" s="14">
        <v>154</v>
      </c>
      <c r="D57">
        <v>2000</v>
      </c>
      <c r="E57" s="14">
        <v>2000</v>
      </c>
      <c r="H57" s="13">
        <f t="shared" si="1"/>
        <v>1.171875</v>
      </c>
      <c r="I57" s="13">
        <f t="shared" si="2"/>
        <v>1.611328125</v>
      </c>
    </row>
    <row r="58" spans="1:9" x14ac:dyDescent="0.45">
      <c r="A58" s="6">
        <v>10.8</v>
      </c>
      <c r="B58" s="1">
        <v>216</v>
      </c>
      <c r="C58" s="14">
        <v>157</v>
      </c>
      <c r="D58">
        <v>2000</v>
      </c>
      <c r="E58" s="14">
        <v>2000</v>
      </c>
      <c r="H58" s="13">
        <f t="shared" si="1"/>
        <v>1.171875</v>
      </c>
      <c r="I58" s="13">
        <f t="shared" si="2"/>
        <v>1.611328125</v>
      </c>
    </row>
    <row r="59" spans="1:9" x14ac:dyDescent="0.45">
      <c r="A59" s="6">
        <v>11</v>
      </c>
      <c r="B59" s="1">
        <v>220</v>
      </c>
      <c r="C59" s="14">
        <v>160</v>
      </c>
      <c r="D59">
        <v>2000</v>
      </c>
      <c r="E59" s="14">
        <v>2000</v>
      </c>
      <c r="H59" s="13">
        <f t="shared" si="1"/>
        <v>1.171875</v>
      </c>
      <c r="I59" s="13">
        <f t="shared" si="2"/>
        <v>1.611328125</v>
      </c>
    </row>
    <row r="60" spans="1:9" x14ac:dyDescent="0.45">
      <c r="A60" s="6">
        <v>11.2</v>
      </c>
      <c r="B60" s="1">
        <v>224</v>
      </c>
      <c r="C60" s="14">
        <v>163</v>
      </c>
      <c r="D60">
        <v>2000</v>
      </c>
      <c r="E60" s="14">
        <v>2000</v>
      </c>
      <c r="H60" s="13">
        <f t="shared" si="1"/>
        <v>1.171875</v>
      </c>
      <c r="I60" s="13">
        <f t="shared" si="2"/>
        <v>1.611328125</v>
      </c>
    </row>
    <row r="61" spans="1:9" x14ac:dyDescent="0.45">
      <c r="A61" s="6">
        <v>11.4</v>
      </c>
      <c r="B61" s="1">
        <v>228</v>
      </c>
      <c r="C61" s="14">
        <v>166</v>
      </c>
      <c r="D61">
        <v>2000</v>
      </c>
      <c r="E61" s="14">
        <v>2000</v>
      </c>
      <c r="H61" s="13">
        <f t="shared" si="1"/>
        <v>1.171875</v>
      </c>
      <c r="I61" s="13">
        <f t="shared" si="2"/>
        <v>1.611328125</v>
      </c>
    </row>
    <row r="62" spans="1:9" x14ac:dyDescent="0.45">
      <c r="A62" s="6">
        <v>11.6</v>
      </c>
      <c r="B62" s="1">
        <v>232</v>
      </c>
      <c r="C62" s="14">
        <v>169</v>
      </c>
      <c r="D62">
        <v>2000</v>
      </c>
      <c r="E62" s="14">
        <v>2000</v>
      </c>
      <c r="H62" s="13">
        <f t="shared" si="1"/>
        <v>1.171875</v>
      </c>
      <c r="I62" s="13">
        <f t="shared" si="2"/>
        <v>1.611328125</v>
      </c>
    </row>
    <row r="63" spans="1:9" x14ac:dyDescent="0.45">
      <c r="A63" s="6">
        <v>11.8</v>
      </c>
      <c r="B63" s="1">
        <v>236</v>
      </c>
      <c r="C63" s="14">
        <v>172</v>
      </c>
      <c r="D63">
        <v>2000</v>
      </c>
      <c r="E63" s="14">
        <v>2000</v>
      </c>
      <c r="H63" s="13">
        <f t="shared" si="1"/>
        <v>1.171875</v>
      </c>
      <c r="I63" s="13">
        <f t="shared" si="2"/>
        <v>1.611328125</v>
      </c>
    </row>
  </sheetData>
  <mergeCells count="3">
    <mergeCell ref="M4:M5"/>
    <mergeCell ref="N4:O4"/>
    <mergeCell ref="P4:Q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6724A-5ED5-42C9-B4A9-4C5AB90F9BD4}">
  <dimension ref="I2:R69"/>
  <sheetViews>
    <sheetView workbookViewId="0">
      <selection activeCell="Z47" sqref="Z47"/>
    </sheetView>
  </sheetViews>
  <sheetFormatPr defaultRowHeight="17" x14ac:dyDescent="0.45"/>
  <cols>
    <col min="9" max="9" width="10.58203125" customWidth="1"/>
    <col min="12" max="12" width="12.75" bestFit="1" customWidth="1"/>
    <col min="18" max="18" width="12.5" bestFit="1" customWidth="1"/>
  </cols>
  <sheetData>
    <row r="2" spans="9:18" x14ac:dyDescent="0.45">
      <c r="I2" s="11"/>
    </row>
    <row r="3" spans="9:18" ht="17.5" x14ac:dyDescent="0.45">
      <c r="I3" s="3" t="s">
        <v>5</v>
      </c>
    </row>
    <row r="4" spans="9:18" x14ac:dyDescent="0.45">
      <c r="I4" s="4">
        <v>1</v>
      </c>
      <c r="K4">
        <f>(I4*2.4)/4096</f>
        <v>5.8593749999999998E-4</v>
      </c>
      <c r="L4" s="14">
        <f>(K4*4096)/3.3</f>
        <v>0.72727272727272729</v>
      </c>
      <c r="M4">
        <v>1</v>
      </c>
      <c r="P4">
        <v>6.5454545454545459</v>
      </c>
      <c r="Q4">
        <f>-(P4*3.3)/4096</f>
        <v>-5.2734375000000003E-3</v>
      </c>
      <c r="R4" s="21">
        <f>10^(-2*(Q4+1))</f>
        <v>1.0245823612834262E-2</v>
      </c>
    </row>
    <row r="5" spans="9:18" x14ac:dyDescent="0.45">
      <c r="I5" s="4">
        <v>12.256710212293513</v>
      </c>
      <c r="K5">
        <f t="shared" ref="K5:K63" si="0">(I5*2.4)/4096</f>
        <v>7.1816661400157297E-3</v>
      </c>
      <c r="L5" s="14">
        <f t="shared" ref="L5:L63" si="1">(K5*4096)/3.3</f>
        <v>8.9139710634861906</v>
      </c>
      <c r="M5">
        <v>9</v>
      </c>
      <c r="P5">
        <v>26.181818181818183</v>
      </c>
      <c r="Q5">
        <f t="shared" ref="Q5:Q60" si="2">-(P5*3.3)/4096</f>
        <v>-2.1093750000000001E-2</v>
      </c>
      <c r="R5" s="21">
        <f t="shared" ref="R5:R60" si="3">10^(-2*(Q5+1))</f>
        <v>1.1020149849656016E-2</v>
      </c>
    </row>
    <row r="6" spans="9:18" x14ac:dyDescent="0.45">
      <c r="I6" s="4">
        <v>18.841463567970102</v>
      </c>
      <c r="K6">
        <f t="shared" si="0"/>
        <v>1.1039920059357481E-2</v>
      </c>
      <c r="L6" s="14">
        <f t="shared" si="1"/>
        <v>13.702882594887347</v>
      </c>
      <c r="P6">
        <v>52.363636363636367</v>
      </c>
      <c r="Q6">
        <f t="shared" si="2"/>
        <v>-4.2187500000000003E-2</v>
      </c>
      <c r="R6" s="21">
        <f t="shared" si="3"/>
        <v>1.2144370270887345E-2</v>
      </c>
    </row>
    <row r="7" spans="9:18" x14ac:dyDescent="0.45">
      <c r="I7" s="4">
        <v>23.513420424587025</v>
      </c>
      <c r="K7">
        <f t="shared" si="0"/>
        <v>1.377739478003146E-2</v>
      </c>
      <c r="L7" s="14">
        <f t="shared" si="1"/>
        <v>17.100669399699655</v>
      </c>
      <c r="P7">
        <v>78.545454545454533</v>
      </c>
      <c r="Q7">
        <f t="shared" si="2"/>
        <v>-6.3281249999999983E-2</v>
      </c>
      <c r="R7" s="21">
        <f t="shared" si="3"/>
        <v>1.338327802148861E-2</v>
      </c>
    </row>
    <row r="8" spans="9:18" x14ac:dyDescent="0.45">
      <c r="I8" s="4">
        <v>27.137271697929787</v>
      </c>
      <c r="K8">
        <f t="shared" si="0"/>
        <v>1.5900745135505732E-2</v>
      </c>
      <c r="L8" s="14">
        <f t="shared" si="1"/>
        <v>19.736197598494389</v>
      </c>
      <c r="P8">
        <v>104.72727272727273</v>
      </c>
      <c r="Q8">
        <f t="shared" si="2"/>
        <v>-8.4375000000000006E-2</v>
      </c>
      <c r="R8" s="21">
        <f t="shared" si="3"/>
        <v>1.4748572927641241E-2</v>
      </c>
    </row>
    <row r="9" spans="9:18" x14ac:dyDescent="0.45">
      <c r="I9" s="4">
        <v>30.098173780263615</v>
      </c>
      <c r="K9">
        <f t="shared" si="0"/>
        <v>1.7635648699373212E-2</v>
      </c>
      <c r="L9" s="14">
        <f t="shared" si="1"/>
        <v>21.889580931100813</v>
      </c>
      <c r="P9">
        <v>130.90909090909093</v>
      </c>
      <c r="Q9">
        <f t="shared" si="2"/>
        <v>-0.10546875000000001</v>
      </c>
      <c r="R9" s="21">
        <f t="shared" si="3"/>
        <v>1.6253148373118635E-2</v>
      </c>
    </row>
    <row r="10" spans="9:18" x14ac:dyDescent="0.45">
      <c r="I10" s="4">
        <v>32.601580820658285</v>
      </c>
      <c r="K10">
        <f t="shared" si="0"/>
        <v>1.9102488762104464E-2</v>
      </c>
      <c r="L10" s="14">
        <f t="shared" si="1"/>
        <v>23.710240596842389</v>
      </c>
      <c r="P10">
        <v>157.09090909090907</v>
      </c>
      <c r="Q10">
        <f t="shared" si="2"/>
        <v>-0.12656249999999997</v>
      </c>
      <c r="R10" s="21">
        <f t="shared" si="3"/>
        <v>1.7911213060046016E-2</v>
      </c>
    </row>
    <row r="11" spans="9:18" x14ac:dyDescent="0.45">
      <c r="I11" s="4">
        <v>34.770130636880531</v>
      </c>
      <c r="K11">
        <f t="shared" si="0"/>
        <v>2.0373123420047184E-2</v>
      </c>
      <c r="L11" s="14">
        <f t="shared" si="1"/>
        <v>25.287367735913111</v>
      </c>
      <c r="P11">
        <v>183.27272727272731</v>
      </c>
      <c r="Q11">
        <f t="shared" si="2"/>
        <v>-0.14765625000000002</v>
      </c>
      <c r="R11" s="21">
        <f t="shared" si="3"/>
        <v>1.9738425191082314E-2</v>
      </c>
    </row>
    <row r="12" spans="9:18" x14ac:dyDescent="0.45">
      <c r="I12" s="4">
        <v>36.682927135940204</v>
      </c>
      <c r="K12">
        <f t="shared" si="0"/>
        <v>2.1493902618714963E-2</v>
      </c>
      <c r="L12" s="14">
        <f t="shared" si="1"/>
        <v>26.678492462501968</v>
      </c>
      <c r="P12">
        <v>209.45454545454547</v>
      </c>
      <c r="Q12">
        <f t="shared" si="2"/>
        <v>-0.16875000000000001</v>
      </c>
      <c r="R12" s="21">
        <f t="shared" si="3"/>
        <v>2.1752040340195213E-2</v>
      </c>
    </row>
    <row r="13" spans="9:18" x14ac:dyDescent="0.45">
      <c r="I13" s="4">
        <v>38.393981910223303</v>
      </c>
      <c r="K13">
        <f t="shared" si="0"/>
        <v>2.2496473775521466E-2</v>
      </c>
      <c r="L13" s="14">
        <f t="shared" si="1"/>
        <v>27.922895934707856</v>
      </c>
      <c r="P13">
        <v>235.63636363636363</v>
      </c>
      <c r="Q13">
        <f t="shared" si="2"/>
        <v>-0.18984374999999998</v>
      </c>
      <c r="R13" s="21">
        <f t="shared" si="3"/>
        <v>2.3971074408471387E-2</v>
      </c>
    </row>
    <row r="14" spans="9:18" x14ac:dyDescent="0.45">
      <c r="I14" s="4">
        <v>39.941819230245542</v>
      </c>
      <c r="K14">
        <f t="shared" si="0"/>
        <v>2.3403409705221995E-2</v>
      </c>
      <c r="L14" s="14">
        <f t="shared" si="1"/>
        <v>29.048595803814941</v>
      </c>
      <c r="P14">
        <v>261.81818181818187</v>
      </c>
      <c r="Q14">
        <f t="shared" si="2"/>
        <v>-0.21093750000000003</v>
      </c>
      <c r="R14" s="21">
        <f t="shared" si="3"/>
        <v>2.6416483203860908E-2</v>
      </c>
    </row>
    <row r="15" spans="9:18" x14ac:dyDescent="0.45">
      <c r="I15" s="4">
        <v>41.354883992557127</v>
      </c>
      <c r="K15">
        <f t="shared" si="0"/>
        <v>2.4231377339388942E-2</v>
      </c>
      <c r="L15" s="14">
        <f t="shared" si="1"/>
        <v>30.076279267314277</v>
      </c>
      <c r="P15">
        <v>288</v>
      </c>
      <c r="Q15">
        <f t="shared" si="2"/>
        <v>-0.23203124999999999</v>
      </c>
      <c r="R15" s="21">
        <f t="shared" si="3"/>
        <v>2.911136034074685E-2</v>
      </c>
    </row>
    <row r="16" spans="9:18" x14ac:dyDescent="0.45">
      <c r="I16" s="4">
        <v>42.654777565175351</v>
      </c>
      <c r="K16">
        <f t="shared" si="0"/>
        <v>2.4993033729594931E-2</v>
      </c>
      <c r="L16" s="14">
        <f t="shared" si="1"/>
        <v>31.02165641103662</v>
      </c>
      <c r="P16">
        <v>314.18181818181813</v>
      </c>
      <c r="Q16">
        <f t="shared" si="2"/>
        <v>-0.25312499999999993</v>
      </c>
      <c r="R16" s="21">
        <f t="shared" si="3"/>
        <v>3.2081155328236334E-2</v>
      </c>
    </row>
    <row r="17" spans="9:18" x14ac:dyDescent="0.45">
      <c r="I17" s="4">
        <v>43.85829103295179</v>
      </c>
      <c r="K17">
        <f t="shared" si="0"/>
        <v>2.569821740212019E-2</v>
      </c>
      <c r="L17" s="14">
        <f t="shared" si="1"/>
        <v>31.89693893305585</v>
      </c>
      <c r="P17">
        <v>340.36363636363637</v>
      </c>
      <c r="Q17">
        <f t="shared" si="2"/>
        <v>-0.27421875000000001</v>
      </c>
      <c r="R17" s="21">
        <f t="shared" si="3"/>
        <v>3.5353913906725508E-2</v>
      </c>
    </row>
    <row r="18" spans="9:18" x14ac:dyDescent="0.45">
      <c r="I18" s="4">
        <v>44.978735265899893</v>
      </c>
      <c r="K18">
        <f t="shared" si="0"/>
        <v>2.6354727694863217E-2</v>
      </c>
      <c r="L18" s="14">
        <f t="shared" si="1"/>
        <v>32.711807466109015</v>
      </c>
      <c r="P18">
        <v>366.54545454545462</v>
      </c>
      <c r="Q18">
        <f t="shared" si="2"/>
        <v>-0.29531250000000003</v>
      </c>
      <c r="R18" s="21">
        <f t="shared" si="3"/>
        <v>3.8960542902395298E-2</v>
      </c>
    </row>
    <row r="19" spans="9:18" x14ac:dyDescent="0.45">
      <c r="I19" s="4">
        <v>46.02684084917405</v>
      </c>
      <c r="K19">
        <f t="shared" si="0"/>
        <v>2.6968852060062918E-2</v>
      </c>
      <c r="L19" s="14">
        <f t="shared" si="1"/>
        <v>33.474066072126583</v>
      </c>
      <c r="P19">
        <v>392.72727272727275</v>
      </c>
      <c r="Q19">
        <f t="shared" si="2"/>
        <v>-0.31640625</v>
      </c>
      <c r="R19" s="21">
        <f t="shared" si="3"/>
        <v>4.2935102100834809E-2</v>
      </c>
    </row>
    <row r="20" spans="9:18" x14ac:dyDescent="0.45">
      <c r="I20" s="4">
        <v>47.011384707472956</v>
      </c>
      <c r="K20">
        <f t="shared" si="0"/>
        <v>2.7545733227034935E-2</v>
      </c>
      <c r="L20" s="14">
        <f t="shared" si="1"/>
        <v>34.190097969071246</v>
      </c>
      <c r="P20">
        <v>418.90909090909093</v>
      </c>
      <c r="Q20">
        <f t="shared" si="2"/>
        <v>-0.33750000000000002</v>
      </c>
      <c r="R20" s="21">
        <f t="shared" si="3"/>
        <v>4.7315125896148037E-2</v>
      </c>
    </row>
    <row r="21" spans="9:18" x14ac:dyDescent="0.45">
      <c r="I21" s="4">
        <v>47.93963734823371</v>
      </c>
      <c r="K21">
        <f t="shared" si="0"/>
        <v>2.808963125873069E-2</v>
      </c>
      <c r="L21" s="14">
        <f t="shared" si="1"/>
        <v>34.865190798715425</v>
      </c>
      <c r="P21">
        <v>445.09090909090907</v>
      </c>
      <c r="Q21">
        <f t="shared" si="2"/>
        <v>-0.35859374999999993</v>
      </c>
      <c r="R21" s="21">
        <f t="shared" si="3"/>
        <v>5.2141977753089097E-2</v>
      </c>
    </row>
    <row r="22" spans="9:18" x14ac:dyDescent="0.45">
      <c r="I22" s="4">
        <v>48.817689021662993</v>
      </c>
      <c r="K22">
        <f t="shared" si="0"/>
        <v>2.8604114661130657E-2</v>
      </c>
      <c r="L22" s="14">
        <f t="shared" si="1"/>
        <v>35.503773833936719</v>
      </c>
      <c r="P22">
        <v>471.27272727272725</v>
      </c>
      <c r="Q22">
        <f t="shared" si="2"/>
        <v>-0.37968749999999996</v>
      </c>
      <c r="R22" s="21">
        <f t="shared" si="3"/>
        <v>5.7461240829647209E-2</v>
      </c>
    </row>
    <row r="23" spans="9:18" x14ac:dyDescent="0.45">
      <c r="I23" s="4">
        <v>49.650692122516809</v>
      </c>
      <c r="K23">
        <f t="shared" si="0"/>
        <v>2.9092202415537192E-2</v>
      </c>
      <c r="L23" s="14">
        <f t="shared" si="1"/>
        <v>36.10959427092132</v>
      </c>
      <c r="P23">
        <v>497.4545454545455</v>
      </c>
      <c r="Q23">
        <f t="shared" si="2"/>
        <v>-0.40078125000000003</v>
      </c>
      <c r="R23" s="21">
        <f t="shared" si="3"/>
        <v>6.3323148448988537E-2</v>
      </c>
    </row>
    <row r="24" spans="9:18" x14ac:dyDescent="0.45">
      <c r="I24" s="4">
        <v>50.443044388628387</v>
      </c>
      <c r="K24">
        <f t="shared" si="0"/>
        <v>2.9556471321461945E-2</v>
      </c>
      <c r="L24" s="14">
        <f t="shared" si="1"/>
        <v>36.685850464457012</v>
      </c>
      <c r="P24">
        <v>523.63636363636374</v>
      </c>
      <c r="Q24">
        <f t="shared" si="2"/>
        <v>-0.42187500000000006</v>
      </c>
      <c r="R24" s="21">
        <f t="shared" si="3"/>
        <v>6.9783058485986635E-2</v>
      </c>
    </row>
    <row r="25" spans="9:18" x14ac:dyDescent="0.45">
      <c r="I25" s="4">
        <v>51.198529442539055</v>
      </c>
      <c r="K25">
        <f t="shared" si="0"/>
        <v>2.9999138345237725E-2</v>
      </c>
      <c r="L25" s="14">
        <f t="shared" si="1"/>
        <v>37.235294140028401</v>
      </c>
      <c r="P25">
        <v>549.81818181818187</v>
      </c>
      <c r="Q25">
        <f t="shared" si="2"/>
        <v>-0.44296875000000002</v>
      </c>
      <c r="R25" s="21">
        <f t="shared" si="3"/>
        <v>7.6901976148288254E-2</v>
      </c>
    </row>
    <row r="26" spans="9:18" x14ac:dyDescent="0.45">
      <c r="I26" s="4">
        <v>51.920426066689387</v>
      </c>
      <c r="K26">
        <f t="shared" si="0"/>
        <v>3.0422124648450812E-2</v>
      </c>
      <c r="L26" s="14">
        <f t="shared" si="1"/>
        <v>37.760309866683194</v>
      </c>
      <c r="P26">
        <v>576</v>
      </c>
      <c r="Q26">
        <f t="shared" si="2"/>
        <v>-0.46406249999999999</v>
      </c>
      <c r="R26" s="21">
        <f t="shared" si="3"/>
        <v>8.474713008888092E-2</v>
      </c>
    </row>
    <row r="27" spans="9:18" x14ac:dyDescent="0.45">
      <c r="I27" s="4">
        <v>52.611594204850633</v>
      </c>
      <c r="K27">
        <f t="shared" si="0"/>
        <v>3.0827105979404665E-2</v>
      </c>
      <c r="L27" s="14">
        <f t="shared" si="1"/>
        <v>38.26297760352773</v>
      </c>
      <c r="P27">
        <v>602.18181818181813</v>
      </c>
      <c r="Q27">
        <f t="shared" si="2"/>
        <v>-0.48515624999999996</v>
      </c>
      <c r="R27" s="21">
        <f t="shared" si="3"/>
        <v>9.3392607290775947E-2</v>
      </c>
    </row>
    <row r="28" spans="9:18" x14ac:dyDescent="0.45">
      <c r="I28" s="4">
        <v>53.274543395859574</v>
      </c>
      <c r="K28">
        <f t="shared" si="0"/>
        <v>3.1215552771011467E-2</v>
      </c>
      <c r="L28" s="14">
        <f t="shared" si="1"/>
        <v>38.745122469716051</v>
      </c>
      <c r="P28">
        <v>628.36363636363626</v>
      </c>
      <c r="Q28">
        <f t="shared" si="2"/>
        <v>-0.50624999999999987</v>
      </c>
      <c r="R28" s="21">
        <f t="shared" si="3"/>
        <v>0.10292005271944274</v>
      </c>
    </row>
    <row r="29" spans="9:18" x14ac:dyDescent="0.45">
      <c r="I29" s="4">
        <v>53.911487777468871</v>
      </c>
      <c r="K29">
        <f t="shared" si="0"/>
        <v>3.1588762369610668E-2</v>
      </c>
      <c r="L29" s="14">
        <f t="shared" si="1"/>
        <v>39.208354747250091</v>
      </c>
      <c r="P29">
        <v>654.54545454545462</v>
      </c>
      <c r="Q29">
        <f t="shared" si="2"/>
        <v>-0.52734375</v>
      </c>
      <c r="R29" s="21">
        <f t="shared" si="3"/>
        <v>0.11341944035027565</v>
      </c>
    </row>
    <row r="30" spans="9:18" x14ac:dyDescent="0.45">
      <c r="I30" s="4">
        <v>54.524390703910306</v>
      </c>
      <c r="K30">
        <f t="shared" si="0"/>
        <v>3.1947885178072441E-2</v>
      </c>
      <c r="L30" s="14">
        <f t="shared" si="1"/>
        <v>39.654102330116586</v>
      </c>
      <c r="P30">
        <v>680.72727272727275</v>
      </c>
      <c r="Q30">
        <f t="shared" si="2"/>
        <v>-0.54843750000000002</v>
      </c>
      <c r="R30" s="21">
        <f t="shared" si="3"/>
        <v>0.12498992285241596</v>
      </c>
    </row>
    <row r="31" spans="9:18" x14ac:dyDescent="0.45">
      <c r="I31" s="4">
        <v>55.11500124524531</v>
      </c>
      <c r="K31">
        <f t="shared" si="0"/>
        <v>3.2293946042135924E-2</v>
      </c>
      <c r="L31" s="14">
        <f t="shared" si="1"/>
        <v>40.083637269269317</v>
      </c>
      <c r="P31">
        <v>706.90909090909088</v>
      </c>
      <c r="Q31">
        <f t="shared" si="2"/>
        <v>-0.56953124999999993</v>
      </c>
      <c r="R31" s="21">
        <f t="shared" si="3"/>
        <v>0.13774076795305684</v>
      </c>
    </row>
    <row r="32" spans="9:18" x14ac:dyDescent="0.45">
      <c r="I32" s="4">
        <v>55.684884278980341</v>
      </c>
      <c r="K32">
        <f t="shared" si="0"/>
        <v>3.2627861882215045E-2</v>
      </c>
      <c r="L32" s="14">
        <f t="shared" si="1"/>
        <v>40.498097657440255</v>
      </c>
      <c r="P32">
        <v>733.09090909090924</v>
      </c>
      <c r="Q32">
        <f t="shared" si="2"/>
        <v>-0.59062500000000007</v>
      </c>
      <c r="R32" s="21">
        <f t="shared" si="3"/>
        <v>0.15179239032493841</v>
      </c>
    </row>
    <row r="33" spans="9:18" x14ac:dyDescent="0.45">
      <c r="I33" s="4">
        <v>56.235445478193405</v>
      </c>
      <c r="K33">
        <f t="shared" si="0"/>
        <v>3.2950456334878947E-2</v>
      </c>
      <c r="L33" s="14">
        <f t="shared" si="1"/>
        <v>40.898505802322475</v>
      </c>
      <c r="P33">
        <v>759.27272727272725</v>
      </c>
      <c r="Q33">
        <f t="shared" si="2"/>
        <v>-0.61171874999999998</v>
      </c>
      <c r="R33" s="21">
        <f t="shared" si="3"/>
        <v>0.16727748874182966</v>
      </c>
    </row>
    <row r="34" spans="9:18" x14ac:dyDescent="0.45">
      <c r="I34" s="4">
        <v>56.767952200838771</v>
      </c>
      <c r="K34">
        <f t="shared" si="0"/>
        <v>3.3262471992678969E-2</v>
      </c>
      <c r="L34" s="14">
        <f t="shared" si="1"/>
        <v>41.285783418791837</v>
      </c>
      <c r="P34">
        <v>785.4545454545455</v>
      </c>
      <c r="Q34">
        <f t="shared" si="2"/>
        <v>-0.6328125</v>
      </c>
      <c r="R34" s="21">
        <f t="shared" si="3"/>
        <v>0.18434229924091103</v>
      </c>
    </row>
    <row r="35" spans="9:18" x14ac:dyDescent="0.45">
      <c r="I35" s="4">
        <v>57.283551061467563</v>
      </c>
      <c r="K35">
        <f t="shared" si="0"/>
        <v>3.3564580700078651E-2</v>
      </c>
      <c r="L35" s="14">
        <f t="shared" si="1"/>
        <v>41.66076440834005</v>
      </c>
      <c r="P35">
        <v>811.63636363636351</v>
      </c>
      <c r="Q35">
        <f t="shared" si="2"/>
        <v>-0.65390624999999991</v>
      </c>
      <c r="R35" s="21">
        <f t="shared" si="3"/>
        <v>0.2031479761264969</v>
      </c>
    </row>
    <row r="36" spans="9:18" x14ac:dyDescent="0.45">
      <c r="I36" s="4">
        <v>57.783282798215645</v>
      </c>
      <c r="K36">
        <f t="shared" si="0"/>
        <v>3.3857392264579476E-2</v>
      </c>
      <c r="L36" s="14">
        <f t="shared" si="1"/>
        <v>42.024205671429556</v>
      </c>
      <c r="P36">
        <v>837.81818181818187</v>
      </c>
      <c r="Q36">
        <f t="shared" si="2"/>
        <v>-0.67500000000000004</v>
      </c>
      <c r="R36" s="21">
        <f t="shared" si="3"/>
        <v>0.22387211385683398</v>
      </c>
    </row>
    <row r="37" spans="9:18" x14ac:dyDescent="0.45">
      <c r="I37" s="4">
        <v>58.268094919766462</v>
      </c>
      <c r="K37">
        <f t="shared" si="0"/>
        <v>3.4141461867050658E-2</v>
      </c>
      <c r="L37" s="14">
        <f t="shared" si="1"/>
        <v>42.376796305284699</v>
      </c>
      <c r="P37">
        <v>864.00000000000011</v>
      </c>
      <c r="Q37">
        <f t="shared" si="2"/>
        <v>-0.69609375000000007</v>
      </c>
      <c r="R37" s="21">
        <f t="shared" si="3"/>
        <v>0.24671042418615635</v>
      </c>
    </row>
    <row r="38" spans="9:18" x14ac:dyDescent="0.45">
      <c r="I38" s="4">
        <v>58.738852518588075</v>
      </c>
      <c r="K38">
        <f t="shared" si="0"/>
        <v>3.4417296397610202E-2</v>
      </c>
      <c r="L38" s="14">
        <f t="shared" si="1"/>
        <v>42.719165468064055</v>
      </c>
      <c r="P38">
        <v>890.18181818181813</v>
      </c>
      <c r="Q38">
        <f t="shared" si="2"/>
        <v>-0.71718749999999987</v>
      </c>
      <c r="R38" s="21">
        <f t="shared" si="3"/>
        <v>0.271878584400364</v>
      </c>
    </row>
    <row r="39" spans="9:18" x14ac:dyDescent="0.45">
      <c r="I39" s="4">
        <v>59.196347560527229</v>
      </c>
      <c r="K39">
        <f t="shared" si="0"/>
        <v>3.4685359898746423E-2</v>
      </c>
      <c r="L39" s="14">
        <f t="shared" si="1"/>
        <v>43.051889134928899</v>
      </c>
      <c r="P39">
        <v>916.36363636363649</v>
      </c>
      <c r="Q39">
        <f t="shared" si="2"/>
        <v>-0.73828125000000011</v>
      </c>
      <c r="R39" s="21">
        <f t="shared" si="3"/>
        <v>0.29961427410043645</v>
      </c>
    </row>
    <row r="40" spans="9:18" x14ac:dyDescent="0.45">
      <c r="I40" s="4">
        <v>59.641306901342205</v>
      </c>
      <c r="K40">
        <f t="shared" si="0"/>
        <v>3.4946078262505197E-2</v>
      </c>
      <c r="L40" s="14">
        <f t="shared" si="1"/>
        <v>43.375495928248874</v>
      </c>
      <c r="P40">
        <v>942.5454545454545</v>
      </c>
      <c r="Q40">
        <f t="shared" si="2"/>
        <v>-0.75937499999999991</v>
      </c>
      <c r="R40" s="21">
        <f t="shared" si="3"/>
        <v>0.33017941976827186</v>
      </c>
    </row>
    <row r="41" spans="9:18" x14ac:dyDescent="0.45">
      <c r="I41" s="4">
        <v>60.074399233956498</v>
      </c>
      <c r="K41">
        <f t="shared" si="0"/>
        <v>3.5199843301146387E-2</v>
      </c>
      <c r="L41" s="14">
        <f t="shared" si="1"/>
        <v>43.690472170150187</v>
      </c>
      <c r="P41">
        <v>968.72727272727275</v>
      </c>
      <c r="Q41">
        <f t="shared" si="2"/>
        <v>-0.78046874999999993</v>
      </c>
      <c r="R41" s="21">
        <f t="shared" si="3"/>
        <v>0.36386266831188308</v>
      </c>
    </row>
    <row r="42" spans="9:18" x14ac:dyDescent="0.45">
      <c r="I42" s="4">
        <v>60.49624113314546</v>
      </c>
      <c r="K42">
        <f t="shared" si="0"/>
        <v>3.5447016288952415E-2</v>
      </c>
      <c r="L42" s="14">
        <f t="shared" si="1"/>
        <v>43.997266278651246</v>
      </c>
      <c r="P42">
        <v>994.90909090909099</v>
      </c>
      <c r="Q42">
        <f t="shared" si="2"/>
        <v>-0.80156250000000007</v>
      </c>
      <c r="R42" s="21">
        <f t="shared" si="3"/>
        <v>0.40098211294926384</v>
      </c>
    </row>
    <row r="43" spans="9:18" x14ac:dyDescent="0.45">
      <c r="I43" s="4">
        <v>60.907402334810321</v>
      </c>
      <c r="K43">
        <f t="shared" si="0"/>
        <v>3.5687931055552922E-2</v>
      </c>
      <c r="L43" s="14">
        <f t="shared" si="1"/>
        <v>44.296292607134781</v>
      </c>
      <c r="P43">
        <v>1021.0909090909091</v>
      </c>
      <c r="Q43">
        <f t="shared" si="2"/>
        <v>-0.82265624999999998</v>
      </c>
      <c r="R43" s="21">
        <f t="shared" si="3"/>
        <v>0.44188829717325784</v>
      </c>
    </row>
    <row r="44" spans="9:18" x14ac:dyDescent="0.45">
      <c r="I44" s="4">
        <v>61.308410363277964</v>
      </c>
      <c r="K44">
        <f t="shared" si="0"/>
        <v>3.5922896697233184E-2</v>
      </c>
      <c r="L44" s="14">
        <f t="shared" si="1"/>
        <v>44.587934809656709</v>
      </c>
      <c r="P44">
        <v>1047.2727272727275</v>
      </c>
      <c r="Q44">
        <f t="shared" si="2"/>
        <v>-0.84375000000000011</v>
      </c>
      <c r="R44" s="21">
        <f t="shared" si="3"/>
        <v>0.48696752516586328</v>
      </c>
    </row>
    <row r="45" spans="9:18" x14ac:dyDescent="0.45">
      <c r="I45" s="4">
        <v>61.699754600921906</v>
      </c>
      <c r="K45">
        <f t="shared" si="0"/>
        <v>3.6152199961477678E-2</v>
      </c>
      <c r="L45" s="14">
        <f t="shared" si="1"/>
        <v>44.872548800670479</v>
      </c>
      <c r="P45">
        <v>1073.4545454545455</v>
      </c>
      <c r="Q45">
        <f t="shared" si="2"/>
        <v>-0.86484375000000002</v>
      </c>
      <c r="R45" s="21">
        <f t="shared" si="3"/>
        <v>0.53664550992439486</v>
      </c>
    </row>
    <row r="46" spans="9:18" x14ac:dyDescent="0.45">
      <c r="I46" s="4">
        <v>62.08188987886345</v>
      </c>
      <c r="K46">
        <f t="shared" si="0"/>
        <v>3.6376107350896553E-2</v>
      </c>
      <c r="L46" s="14">
        <f t="shared" si="1"/>
        <v>45.150465366446149</v>
      </c>
      <c r="P46">
        <v>1099.6363636363637</v>
      </c>
      <c r="Q46">
        <f t="shared" si="2"/>
        <v>-0.88593750000000004</v>
      </c>
      <c r="R46" s="21">
        <f t="shared" si="3"/>
        <v>0.59139139355118953</v>
      </c>
    </row>
    <row r="47" spans="9:18" x14ac:dyDescent="0.45">
      <c r="I47" s="4">
        <v>62.45523965483256</v>
      </c>
      <c r="K47">
        <f t="shared" si="0"/>
        <v>3.6594866985253452E-2</v>
      </c>
      <c r="L47" s="14">
        <f t="shared" si="1"/>
        <v>45.421992476241861</v>
      </c>
      <c r="P47">
        <v>1125.818181818182</v>
      </c>
      <c r="Q47">
        <f t="shared" si="2"/>
        <v>-0.90703125000000007</v>
      </c>
      <c r="R47" s="21">
        <f t="shared" si="3"/>
        <v>0.65172217767310037</v>
      </c>
    </row>
    <row r="48" spans="9:18" x14ac:dyDescent="0.45">
      <c r="I48" s="4">
        <v>62.820198833869988</v>
      </c>
      <c r="K48">
        <f t="shared" si="0"/>
        <v>3.6808710254220695E-2</v>
      </c>
      <c r="L48" s="14">
        <f t="shared" si="1"/>
        <v>45.68741733372363</v>
      </c>
      <c r="P48">
        <v>1152</v>
      </c>
      <c r="Q48">
        <f t="shared" si="2"/>
        <v>-0.92812499999999998</v>
      </c>
      <c r="R48" s="21">
        <f t="shared" si="3"/>
        <v>0.7182076058301704</v>
      </c>
    </row>
    <row r="49" spans="9:18" x14ac:dyDescent="0.45">
      <c r="I49" s="4">
        <v>63.177136278982907</v>
      </c>
      <c r="K49">
        <f t="shared" si="0"/>
        <v>3.7017853288466546E-2</v>
      </c>
      <c r="L49" s="14">
        <f t="shared" si="1"/>
        <v>45.947008202896662</v>
      </c>
      <c r="P49">
        <v>1178.1818181818182</v>
      </c>
      <c r="Q49">
        <f t="shared" si="2"/>
        <v>-0.94921875</v>
      </c>
      <c r="R49" s="21">
        <f t="shared" si="3"/>
        <v>0.79147554394111608</v>
      </c>
    </row>
    <row r="50" spans="9:18" x14ac:dyDescent="0.45">
      <c r="I50" s="4">
        <v>63.526397051771347</v>
      </c>
      <c r="K50">
        <f t="shared" si="0"/>
        <v>3.7222498272522275E-2</v>
      </c>
      <c r="L50" s="14">
        <f t="shared" si="1"/>
        <v>46.201016037651897</v>
      </c>
      <c r="P50">
        <v>1204.3636363636363</v>
      </c>
      <c r="Q50">
        <f t="shared" si="2"/>
        <v>-0.97031249999999991</v>
      </c>
      <c r="R50" s="21">
        <f t="shared" si="3"/>
        <v>0.87221790965690993</v>
      </c>
    </row>
    <row r="51" spans="9:18" x14ac:dyDescent="0.45">
      <c r="I51" s="4">
        <v>63.868304417144152</v>
      </c>
      <c r="K51">
        <f t="shared" si="0"/>
        <v>3.7422834619420399E-2</v>
      </c>
      <c r="L51" s="14">
        <f t="shared" si="1"/>
        <v>46.449675939741198</v>
      </c>
      <c r="P51">
        <v>1230.5454545454545</v>
      </c>
      <c r="Q51">
        <f t="shared" si="2"/>
        <v>-0.99140624999999993</v>
      </c>
      <c r="R51" s="21">
        <f t="shared" si="3"/>
        <v>0.96119720659728802</v>
      </c>
    </row>
    <row r="52" spans="9:18" x14ac:dyDescent="0.45">
      <c r="I52" s="4">
        <v>64.203161641316569</v>
      </c>
      <c r="K52">
        <f t="shared" si="0"/>
        <v>3.7619040024208926E-2</v>
      </c>
      <c r="L52" s="14">
        <f t="shared" si="1"/>
        <v>46.693208466412052</v>
      </c>
      <c r="P52">
        <v>1256.7272727272725</v>
      </c>
      <c r="Q52">
        <f t="shared" si="2"/>
        <v>-1.0124999999999997</v>
      </c>
      <c r="R52" s="21">
        <f t="shared" si="3"/>
        <v>1.0592537251772876</v>
      </c>
    </row>
    <row r="53" spans="9:18" x14ac:dyDescent="0.45">
      <c r="I53" s="4">
        <v>64.531253608153094</v>
      </c>
      <c r="K53">
        <f t="shared" si="0"/>
        <v>3.7811281411027201E-2</v>
      </c>
      <c r="L53" s="14">
        <f t="shared" si="1"/>
        <v>46.931820805929519</v>
      </c>
      <c r="P53">
        <v>1282.9090909090908</v>
      </c>
      <c r="Q53">
        <f t="shared" si="2"/>
        <v>-1.0335937499999999</v>
      </c>
      <c r="R53" s="21">
        <f t="shared" si="3"/>
        <v>1.1673134780260066</v>
      </c>
    </row>
    <row r="54" spans="9:18" x14ac:dyDescent="0.45">
      <c r="I54" s="4">
        <v>64.852848275443051</v>
      </c>
      <c r="K54">
        <f t="shared" si="0"/>
        <v>3.7999715786392413E-2</v>
      </c>
      <c r="L54" s="14">
        <f t="shared" si="1"/>
        <v>47.165707836685861</v>
      </c>
      <c r="P54">
        <v>1309.0909090909092</v>
      </c>
      <c r="Q54">
        <f t="shared" si="2"/>
        <v>-1.0546875</v>
      </c>
      <c r="R54" s="21">
        <f t="shared" si="3"/>
        <v>1.2863969449369745</v>
      </c>
    </row>
    <row r="55" spans="9:18" x14ac:dyDescent="0.45">
      <c r="I55" s="4">
        <v>65.16819798976239</v>
      </c>
      <c r="K55">
        <f t="shared" si="0"/>
        <v>3.8184491009626398E-2</v>
      </c>
      <c r="L55" s="14">
        <f t="shared" si="1"/>
        <v>47.395053083463559</v>
      </c>
      <c r="P55">
        <v>1335.2727272727275</v>
      </c>
      <c r="Q55">
        <f t="shared" si="2"/>
        <v>-1.0757812500000001</v>
      </c>
      <c r="R55" s="21">
        <f>10^(-2*(Q55+1))</f>
        <v>1.4176287099345166</v>
      </c>
    </row>
    <row r="56" spans="9:18" x14ac:dyDescent="0.45">
      <c r="I56" s="4">
        <v>65.477540676086463</v>
      </c>
      <c r="K56">
        <f t="shared" si="0"/>
        <v>3.8365746489894409E-2</v>
      </c>
      <c r="L56" s="14">
        <f t="shared" si="1"/>
        <v>47.620029582608339</v>
      </c>
      <c r="P56">
        <v>1361.4545454545455</v>
      </c>
      <c r="Q56">
        <f t="shared" si="2"/>
        <v>-1.096875</v>
      </c>
      <c r="R56" s="21">
        <f>10^(-2*(Q56+1))</f>
        <v>1.5622480814652908</v>
      </c>
    </row>
    <row r="57" spans="9:18" x14ac:dyDescent="0.45">
      <c r="I57" s="4">
        <v>65.781100916203826</v>
      </c>
      <c r="K57">
        <f t="shared" si="0"/>
        <v>3.8543613818088178E-2</v>
      </c>
      <c r="L57" s="14">
        <f t="shared" si="1"/>
        <v>47.840800666330054</v>
      </c>
      <c r="P57">
        <v>1387.6363636363637</v>
      </c>
      <c r="Q57">
        <f t="shared" si="2"/>
        <v>-1.11796875</v>
      </c>
      <c r="R57" s="21">
        <f t="shared" si="3"/>
        <v>1.7216207960085115</v>
      </c>
    </row>
    <row r="58" spans="9:18" x14ac:dyDescent="0.45">
      <c r="I58" s="4">
        <v>66.079090928175333</v>
      </c>
      <c r="K58">
        <f t="shared" si="0"/>
        <v>3.871821734072773E-2</v>
      </c>
      <c r="L58" s="14">
        <f t="shared" si="1"/>
        <v>48.057520675036606</v>
      </c>
      <c r="P58">
        <v>1413.8181818181818</v>
      </c>
      <c r="Q58">
        <f t="shared" si="2"/>
        <v>-1.1390624999999999</v>
      </c>
      <c r="R58" s="21">
        <f t="shared" si="3"/>
        <v>1.8972519156297858</v>
      </c>
    </row>
    <row r="59" spans="9:18" x14ac:dyDescent="0.45">
      <c r="I59" s="4">
        <v>66.371711457538836</v>
      </c>
      <c r="K59">
        <f t="shared" si="0"/>
        <v>3.8889674682151661E-2</v>
      </c>
      <c r="L59" s="14">
        <f t="shared" si="1"/>
        <v>48.270335605482792</v>
      </c>
      <c r="P59">
        <v>1440</v>
      </c>
      <c r="Q59">
        <f t="shared" si="2"/>
        <v>-1.16015625</v>
      </c>
      <c r="R59" s="21">
        <f t="shared" si="3"/>
        <v>2.0908000412787184</v>
      </c>
    </row>
    <row r="60" spans="9:18" x14ac:dyDescent="0.45">
      <c r="I60" s="4">
        <v>66.659152589633095</v>
      </c>
      <c r="K60">
        <f t="shared" si="0"/>
        <v>3.9058097220488142E-2</v>
      </c>
      <c r="L60" s="14">
        <f t="shared" si="1"/>
        <v>48.479383701551342</v>
      </c>
      <c r="P60">
        <v>1454</v>
      </c>
      <c r="Q60">
        <f t="shared" si="2"/>
        <v>-1.171435546875</v>
      </c>
      <c r="R60" s="21">
        <f t="shared" si="3"/>
        <v>2.2022726927165457</v>
      </c>
    </row>
    <row r="61" spans="9:18" x14ac:dyDescent="0.45">
      <c r="I61" s="4">
        <v>66.941594491273847</v>
      </c>
      <c r="K61">
        <f t="shared" si="0"/>
        <v>3.9223590522230768E-2</v>
      </c>
      <c r="L61" s="14">
        <f t="shared" si="1"/>
        <v>48.684795993653708</v>
      </c>
    </row>
    <row r="62" spans="9:18" x14ac:dyDescent="0.45">
      <c r="I62" s="4">
        <v>67.219208089028882</v>
      </c>
      <c r="K62">
        <f t="shared" si="0"/>
        <v>3.9386254739665359E-2</v>
      </c>
      <c r="L62" s="14">
        <f t="shared" si="1"/>
        <v>48.886696792021006</v>
      </c>
    </row>
    <row r="63" spans="9:18" x14ac:dyDescent="0.45">
      <c r="I63" s="4">
        <v>67.492155690486911</v>
      </c>
      <c r="K63">
        <f t="shared" si="0"/>
        <v>3.954618497489467E-2</v>
      </c>
      <c r="L63" s="14">
        <f t="shared" si="1"/>
        <v>49.085204138535936</v>
      </c>
    </row>
    <row r="69" spans="12:12" x14ac:dyDescent="0.45">
      <c r="L69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TVG</vt:lpstr>
      <vt:lpstr>Sheet3</vt:lpstr>
      <vt:lpstr>Sheet1</vt:lpstr>
      <vt:lpstr>Sheet2</vt:lpstr>
      <vt:lpstr>TVG!Print_Area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성찬 정</cp:lastModifiedBy>
  <cp:lastPrinted>2024-04-30T02:04:46Z</cp:lastPrinted>
  <dcterms:created xsi:type="dcterms:W3CDTF">2021-08-27T06:18:02Z</dcterms:created>
  <dcterms:modified xsi:type="dcterms:W3CDTF">2024-07-10T05:34:59Z</dcterms:modified>
</cp:coreProperties>
</file>